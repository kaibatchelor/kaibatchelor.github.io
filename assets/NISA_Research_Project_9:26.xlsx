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a10d0fcb3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69d29af40e341f9"/>
    <x:sheet xmlns:r="http://schemas.openxmlformats.org/officeDocument/2006/relationships" name="01_Source_Log" sheetId="2" r:id="Raf56f2e762474083"/>
    <x:sheet xmlns:r="http://schemas.openxmlformats.org/officeDocument/2006/relationships" name="02_Raw_NISA" sheetId="3" r:id="R1258f4ef2c784740"/>
    <x:sheet xmlns:r="http://schemas.openxmlformats.org/officeDocument/2006/relationships" name="03_Clean_NISA" sheetId="4" r:id="Rd0c50ebd007d4472"/>
    <x:sheet xmlns:r="http://schemas.openxmlformats.org/officeDocument/2006/relationships" name="04_Age_Data" sheetId="5" r:id="R4e70f337751945e0"/>
    <x:sheet xmlns:r="http://schemas.openxmlformats.org/officeDocument/2006/relationships" name="05_Product_Mix" sheetId="6" r:id="R66fdee33d10046cc"/>
    <x:sheet xmlns:r="http://schemas.openxmlformats.org/officeDocument/2006/relationships" name="06_HH_Assets" sheetId="7" r:id="Rb401758198a84c7e"/>
    <x:sheet xmlns:r="http://schemas.openxmlformats.org/officeDocument/2006/relationships" name="07_Survey_Context" sheetId="8" r:id="Rce58d6dda82b4b1b"/>
    <x:sheet xmlns:r="http://schemas.openxmlformats.org/officeDocument/2006/relationships" name="08_Macro_Market" sheetId="9" r:id="R7a10a43ae6c94787"/>
    <x:sheet xmlns:r="http://schemas.openxmlformats.org/officeDocument/2006/relationships" name="09_Firm_Comparison" sheetId="10" r:id="R9e27afaf5a754fbe"/>
    <x:sheet xmlns:r="http://schemas.openxmlformats.org/officeDocument/2006/relationships" name="10_Rakuten_Scenario" sheetId="11" r:id="R878d68bef9bb4c46"/>
    <x:sheet xmlns:r="http://schemas.openxmlformats.org/officeDocument/2006/relationships" name="11_Variable_Dict" sheetId="12" r:id="Ra332e01f50bc438c"/>
    <x:sheet xmlns:r="http://schemas.openxmlformats.org/officeDocument/2006/relationships" name="12_Audit_Checks" sheetId="13" r:id="R40472217c4d5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;[Red](0.00);-"/>
    <x:numFmt numFmtId="201" formatCode="0.0000;[Red](0.0000);-"/>
    <x:numFmt numFmtId="202" formatCode="0.0%;[Red](0.0%);-"/>
    <x:numFmt numFmtId="203" formatCode="#,##0.0;[Red](#,##0.0);-"/>
    <x:numFmt numFmtId="204" formatCode="0.000;[Red](0.000);-"/>
    <x:numFmt numFmtId="205" formatCode="¥#,##0;[Red](¥#,##0);-"/>
    <x:numFmt numFmtId="206" formatCode="0.00&quot; pp&quot;;[Red](0.00&quot; pp&quot;);-"/>
    <x:numFmt numFmtId="207" formatCode="0.00x;[Red](0.00x);-"/>
    <x:numFmt numFmtId="208" formatCode="#,##0;[Red](#,##0);-"/>
    <x:numFmt numFmtId="209" formatCode="#,##0.00;[Red](#,##0.00);-"/>
    <x:numFmt numFmtId="210" formatCode="0.0;[Red](0.0);-"/>
    <x:numFmt numFmtId="211" formatCode="0.000000;[Red](0.000000);-"/>
  </x:numFmts>
  <x:fonts count="13">
    <x:font>
      <x:sz val="11"/>
      <x:name val="Carlito"/>
    </x:font>
    <x:font>
      <x:b/>
      <x:sz val="16"/>
      <x:color rgb="FFFFFFFF"/>
      <x:name val="Arial"/>
    </x:font>
    <x:font>
      <x:i/>
      <x:sz val="9"/>
      <x:color rgb="FF666666"/>
      <x:name val="Arial"/>
    </x:font>
    <x:font>
      <x:b/>
      <x:sz val="9"/>
      <x:color rgb="FFFFFFFF"/>
      <x:name val="Arial"/>
    </x:font>
    <x:font>
      <x:b/>
      <x:sz val="10"/>
      <x:color rgb="FFFFFFFF"/>
      <x:name val="Arial"/>
    </x:font>
    <x:font>
      <x:sz val="9"/>
      <x:color rgb="FF0000FF"/>
      <x:name val="Arial"/>
    </x:font>
    <x:font>
      <x:sz val="9"/>
      <x:color rgb="FF008000"/>
      <x:name val="Arial"/>
    </x:font>
    <x:font>
      <x:sz val="9"/>
      <x:color rgb="FF000000"/>
      <x:name val="Arial"/>
    </x:font>
    <x:font>
      <x:b/>
      <x:sz val="12"/>
      <x:color rgb="FF17365D"/>
      <x:name val="Arial"/>
    </x:font>
    <x:font>
      <x:sz val="10"/>
      <x:color rgb="FF000000"/>
      <x:name val="Arial"/>
    </x:font>
    <x:font>
      <x:b/>
      <x:sz val="17"/>
      <x:color rgb="FF008000"/>
      <x:name val="Arial"/>
    </x:font>
    <x:font>
      <x:i/>
      <x:sz val="8"/>
      <x:color rgb="FF666666"/>
      <x:name val="Arial"/>
    </x:font>
    <x:font>
      <x:sz val="10"/>
      <x:color rgb="FF17365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1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7" fillId="0" borderId="0" xfId="0" applyNumberFormat="1" applyFont="1" applyFill="1" applyBorder="1"/>
    <x:xf numFmtId="202" fontId="0" fillId="0" borderId="1" xfId="0" applyNumberFormat="1" applyFont="1" applyFill="1" applyBorder="1"/>
    <x:xf numFmtId="202" fontId="7" fillId="0" borderId="1" xfId="0" applyNumberFormat="1" applyFont="1" applyFill="1" applyBorder="1"/>
    <x:xf numFmtId="200" fontId="0" fillId="0" borderId="0" xfId="0" applyNumberFormat="1" applyFont="1" applyFill="1" applyBorder="1"/>
    <x:xf numFmtId="200" fontId="7" fillId="0" borderId="0" xfId="0" applyNumberFormat="1" applyFont="1" applyFill="1" applyBorder="1"/>
    <x:xf numFmtId="200" fontId="0" fillId="0" borderId="1" xfId="0" applyNumberFormat="1" applyFont="1" applyFill="1" applyBorder="1"/>
    <x:xf numFmtId="200" fontId="7" fillId="0" borderId="1" xfId="0" applyNumberFormat="1" applyFont="1" applyFill="1" applyBorder="1"/>
    <x:xf numFmtId="201" fontId="6" fillId="0" borderId="0" xfId="0" applyNumberFormat="1" applyFont="1" applyFill="1" applyBorder="1"/>
    <x:xf numFmtId="201" fontId="0" fillId="0" borderId="0" xfId="0" applyNumberFormat="1" applyFont="1" applyFill="1" applyBorder="1"/>
    <x:xf numFmtId="201" fontId="7" fillId="0" borderId="0" xfId="0" applyNumberFormat="1" applyFont="1" applyFill="1" applyBorder="1"/>
    <x:xf numFmtId="201" fontId="6" fillId="0" borderId="1" xfId="0" applyNumberFormat="1" applyFont="1" applyFill="1" applyBorder="1"/>
    <x:xf numFmtId="201" fontId="0" fillId="0" borderId="1" xfId="0" applyNumberFormat="1" applyFont="1" applyFill="1" applyBorder="1"/>
    <x:xf numFmtId="201" fontId="7" fillId="0" borderId="1" xfId="0" applyNumberFormat="1" applyFont="1" applyFill="1" applyBorder="1"/>
    <x:xf numFmtId="205" fontId="0" fillId="0" borderId="0" xfId="0" applyNumberFormat="1" applyFont="1" applyFill="1" applyBorder="1"/>
    <x:xf numFmtId="205" fontId="7" fillId="0" borderId="0" xfId="0" applyNumberFormat="1" applyFont="1" applyFill="1" applyBorder="1"/>
    <x:xf numFmtId="205" fontId="0" fillId="0" borderId="1" xfId="0" applyNumberFormat="1" applyFont="1" applyFill="1" applyBorder="1"/>
    <x:xf numFmtId="205" fontId="7" fillId="0" borderId="1" xfId="0" applyNumberFormat="1" applyFont="1" applyFill="1" applyBorder="1"/>
    <x:xf numFmtId="206" fontId="7" fillId="0" borderId="0" xfId="0" applyNumberFormat="1" applyFont="1" applyFill="1" applyBorder="1"/>
    <x:xf numFmtId="206" fontId="7" fillId="0" borderId="1" xfId="0" applyNumberFormat="1" applyFont="1" applyFill="1" applyBorder="1"/>
    <x:xf numFmtId="207" fontId="7" fillId="0" borderId="0" xfId="0" applyNumberFormat="1" applyFont="1" applyFill="1" applyBorder="1"/>
    <x:xf numFmtId="207" fontId="7" fillId="0" borderId="1" xfId="0" applyNumberFormat="1" applyFont="1" applyFill="1" applyBorder="1"/>
    <x:xf numFmtId="208" fontId="7" fillId="0" borderId="0" xfId="0" applyNumberFormat="1" applyFont="1" applyFill="1" applyBorder="1"/>
    <x:xf numFmtId="208" fontId="7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7" fillId="0" borderId="0" xfId="0" applyNumberFormat="1" applyFont="1" applyFill="1" applyBorder="1"/>
    <x:xf numFmtId="203" fontId="6" fillId="0" borderId="1" xfId="0" applyNumberFormat="1" applyFont="1" applyFill="1" applyBorder="1"/>
    <x:xf numFmtId="203" fontId="7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9" fontId="5" fillId="0" borderId="0" xfId="0" applyNumberFormat="1" applyFont="1" applyFill="1" applyBorder="1"/>
    <x:xf numFmtId="209" fontId="5" fillId="0" borderId="1" xfId="0" applyNumberFormat="1" applyFont="1" applyFill="1" applyBorder="1"/>
    <x:xf numFmtId="208" fontId="5" fillId="0" borderId="0" xfId="0" applyNumberFormat="1" applyFont="1" applyFill="1" applyBorder="1"/>
    <x:xf numFmtId="208" fontId="5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10" fontId="5" fillId="0" borderId="0" xfId="0" applyNumberFormat="1" applyFont="1" applyFill="1" applyBorder="1"/>
    <x:xf numFmtId="210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9" fontId="6" fillId="0" borderId="0" xfId="0" applyNumberFormat="1" applyFont="1" applyFill="1" applyBorder="1"/>
    <x:xf numFmtId="209" fontId="6" fillId="0" borderId="1" xfId="0" applyNumberFormat="1" applyFont="1" applyFill="1" applyBorder="1"/>
    <x:xf numFmtId="207" fontId="5" fillId="0" borderId="0" xfId="0" applyNumberFormat="1" applyFont="1" applyFill="1" applyBorder="1"/>
    <x:xf numFmtId="207" fontId="5" fillId="0" borderId="1" xfId="0" applyNumberFormat="1" applyFont="1" applyFill="1" applyBorder="1"/>
    <x:xf numFmtId="202" fontId="6" fillId="7" borderId="0" xfId="0" applyNumberFormat="1" applyFont="1" applyFill="1" applyBorder="1"/>
    <x:xf numFmtId="202" fontId="7" fillId="7" borderId="0" xfId="0" applyNumberFormat="1" applyFont="1" applyFill="1" applyBorder="1"/>
    <x:xf numFmtId="202" fontId="5" fillId="7" borderId="0" xfId="0" applyNumberFormat="1" applyFont="1" applyFill="1" applyBorder="1"/>
    <x:xf numFmtId="207" fontId="5" fillId="7" borderId="0" xfId="0" applyNumberFormat="1" applyFont="1" applyFill="1" applyBorder="1"/>
    <x:xf numFmtId="202" fontId="6" fillId="7" borderId="1" xfId="0" applyNumberFormat="1" applyFont="1" applyFill="1" applyBorder="1"/>
    <x:xf numFmtId="202" fontId="7" fillId="7" borderId="1" xfId="0" applyNumberFormat="1" applyFont="1" applyFill="1" applyBorder="1"/>
    <x:xf numFmtId="202" fontId="5" fillId="7" borderId="1" xfId="0" applyNumberFormat="1" applyFont="1" applyFill="1" applyBorder="1"/>
    <x:xf numFmtId="207" fontId="5" fillId="7" borderId="1" xfId="0" applyNumberFormat="1" applyFont="1" applyFill="1" applyBorder="1"/>
    <x:xf numFmtId="209" fontId="7" fillId="0" borderId="0" xfId="0" applyNumberFormat="1" applyFont="1" applyFill="1" applyBorder="1"/>
    <x:xf numFmtId="209" fontId="7" fillId="0" borderId="1" xfId="0" applyNumberFormat="1" applyFont="1" applyFill="1" applyBorder="1"/>
    <x:xf numFmtId="0" fontId="0" fillId="8" borderId="0" xfId="0" applyNumberFormat="1" applyFont="1" applyFill="1" applyBorder="1"/>
    <x:xf numFmtId="200" fontId="7" fillId="8" borderId="0" xfId="0" applyNumberFormat="1" applyFont="1" applyFill="1" applyBorder="1"/>
    <x:xf numFmtId="205" fontId="7" fillId="8" borderId="0" xfId="0" applyNumberFormat="1" applyFont="1" applyFill="1" applyBorder="1"/>
    <x:xf numFmtId="209" fontId="7" fillId="8" borderId="0" xfId="0" applyNumberFormat="1" applyFont="1" applyFill="1" applyBorder="1"/>
    <x:xf numFmtId="0" fontId="0" fillId="8" borderId="1" xfId="0" applyNumberFormat="1" applyFont="1" applyFill="1" applyBorder="1"/>
    <x:xf numFmtId="200" fontId="7" fillId="8" borderId="1" xfId="0" applyNumberFormat="1" applyFont="1" applyFill="1" applyBorder="1"/>
    <x:xf numFmtId="205" fontId="7" fillId="8" borderId="1" xfId="0" applyNumberFormat="1" applyFont="1" applyFill="1" applyBorder="1"/>
    <x:xf numFmtId="209" fontId="7" fillId="8" borderId="1" xfId="0" applyNumberFormat="1" applyFont="1" applyFill="1" applyBorder="1"/>
    <x:xf numFmtId="200" fontId="7" fillId="3" borderId="0" xfId="0" applyNumberFormat="1" applyFont="1" applyFill="1" applyBorder="1"/>
    <x:xf numFmtId="205" fontId="7" fillId="3" borderId="0" xfId="0" applyNumberFormat="1" applyFont="1" applyFill="1" applyBorder="1"/>
    <x:xf numFmtId="209" fontId="7" fillId="3" borderId="0" xfId="0" applyNumberFormat="1" applyFont="1" applyFill="1" applyBorder="1"/>
    <x:xf numFmtId="200" fontId="7" fillId="3" borderId="1" xfId="0" applyNumberFormat="1" applyFont="1" applyFill="1" applyBorder="1"/>
    <x:xf numFmtId="205" fontId="7" fillId="3" borderId="1" xfId="0" applyNumberFormat="1" applyFont="1" applyFill="1" applyBorder="1"/>
    <x:xf numFmtId="209" fontId="7" fillId="3" borderId="1" xfId="0" applyNumberFormat="1" applyFont="1" applyFill="1" applyBorder="1"/>
    <x:xf numFmtId="200" fontId="7" fillId="6" borderId="0" xfId="0" applyNumberFormat="1" applyFont="1" applyFill="1" applyBorder="1"/>
    <x:xf numFmtId="205" fontId="7" fillId="6" borderId="0" xfId="0" applyNumberFormat="1" applyFont="1" applyFill="1" applyBorder="1"/>
    <x:xf numFmtId="209" fontId="7" fillId="6" borderId="0" xfId="0" applyNumberFormat="1" applyFont="1" applyFill="1" applyBorder="1"/>
    <x:xf numFmtId="200" fontId="7" fillId="6" borderId="1" xfId="0" applyNumberFormat="1" applyFont="1" applyFill="1" applyBorder="1"/>
    <x:xf numFmtId="205" fontId="7" fillId="6" borderId="1" xfId="0" applyNumberFormat="1" applyFont="1" applyFill="1" applyBorder="1"/>
    <x:xf numFmtId="209" fontId="7" fillId="6" borderId="1" xfId="0" applyNumberFormat="1" applyFont="1" applyFill="1" applyBorder="1"/>
    <x:xf numFmtId="211" fontId="6" fillId="0" borderId="0" xfId="0" applyNumberFormat="1" applyFont="1" applyFill="1" applyBorder="1"/>
    <x:xf numFmtId="211" fontId="0" fillId="0" borderId="0" xfId="0" applyNumberFormat="1" applyFont="1" applyFill="1" applyBorder="1"/>
    <x:xf numFmtId="211" fontId="7" fillId="0" borderId="0" xfId="0" applyNumberFormat="1" applyFont="1" applyFill="1" applyBorder="1"/>
    <x:xf numFmtId="211" fontId="6" fillId="0" borderId="1" xfId="0" applyNumberFormat="1" applyFont="1" applyFill="1" applyBorder="1"/>
    <x:xf numFmtId="211" fontId="0" fillId="0" borderId="1" xfId="0" applyNumberFormat="1" applyFont="1" applyFill="1" applyBorder="1"/>
    <x:xf numFmtId="211" fontId="7" fillId="0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 applyAlignment="1">
      <x:alignment horizontal="center"/>
    </x:xf>
    <x:xf numFmtId="202" fontId="10" fillId="0" borderId="0" xfId="0" applyNumberFormat="1" applyFont="1" applyFill="1" applyBorder="1" applyAlignment="1">
      <x:alignment horizontal="center"/>
    </x:xf>
    <x:xf numFmtId="202" fontId="10" fillId="0" borderId="1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/>
    <x:xf numFmtId="0" fontId="11" fillId="8" borderId="1" xfId="0" applyNumberFormat="1" applyFont="1" applyFill="1" applyBorder="1"/>
    <x:xf numFmtId="207" fontId="10" fillId="0" borderId="0" xfId="0" applyNumberFormat="1" applyFont="1" applyFill="1" applyBorder="1" applyAlignment="1">
      <x:alignment horizontal="center"/>
    </x:xf>
    <x:xf numFmtId="207" fontId="1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2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8" fontId="7" fillId="8" borderId="0" xfId="0" applyNumberFormat="1" applyFont="1" applyFill="1" applyBorder="1"/>
    <x:xf numFmtId="208" fontId="7" fillId="3" borderId="0" xfId="0" applyNumberFormat="1" applyFont="1" applyFill="1" applyBorder="1"/>
    <x:xf numFmtId="208" fontId="7" fillId="6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ddeef51bb419b" /><Relationship Type="http://schemas.openxmlformats.org/officeDocument/2006/relationships/theme" Target="/xl/theme/theme1.xml" Id="R4f5dce583515440a" /><Relationship Type="http://schemas.openxmlformats.org/officeDocument/2006/relationships/sharedStrings" Target="/xl/sharedStrings.xml" Id="R261d06e615a747ca" /><Relationship Type="http://schemas.openxmlformats.org/officeDocument/2006/relationships/worksheet" Target="/xl/worksheets/sheet1.xml" Id="Re69d29af40e341f9" /><Relationship Type="http://schemas.openxmlformats.org/officeDocument/2006/relationships/worksheet" Target="/xl/worksheets/sheet2.xml" Id="Raf56f2e762474083" /><Relationship Type="http://schemas.openxmlformats.org/officeDocument/2006/relationships/worksheet" Target="/xl/worksheets/sheet3.xml" Id="R1258f4ef2c784740" /><Relationship Type="http://schemas.openxmlformats.org/officeDocument/2006/relationships/worksheet" Target="/xl/worksheets/sheet4.xml" Id="Rd0c50ebd007d4472" /><Relationship Type="http://schemas.openxmlformats.org/officeDocument/2006/relationships/worksheet" Target="/xl/worksheets/sheet5.xml" Id="R4e70f337751945e0" /><Relationship Type="http://schemas.openxmlformats.org/officeDocument/2006/relationships/worksheet" Target="/xl/worksheets/sheet6.xml" Id="R66fdee33d10046cc" /><Relationship Type="http://schemas.openxmlformats.org/officeDocument/2006/relationships/worksheet" Target="/xl/worksheets/sheet7.xml" Id="Rb401758198a84c7e" /><Relationship Type="http://schemas.openxmlformats.org/officeDocument/2006/relationships/worksheet" Target="/xl/worksheets/sheet8.xml" Id="Rce58d6dda82b4b1b" /><Relationship Type="http://schemas.openxmlformats.org/officeDocument/2006/relationships/worksheet" Target="/xl/worksheets/sheet9.xml" Id="R7a10a43ae6c94787" /><Relationship Type="http://schemas.openxmlformats.org/officeDocument/2006/relationships/worksheet" Target="/xl/worksheets/sheet10.xml" Id="R9e27afaf5a754fbe" /><Relationship Type="http://schemas.openxmlformats.org/officeDocument/2006/relationships/worksheet" Target="/xl/worksheets/sheet11.xml" Id="R878d68bef9bb4c46" /><Relationship Type="http://schemas.openxmlformats.org/officeDocument/2006/relationships/worksheet" Target="/xl/worksheets/sheet12.xml" Id="Ra332e01f50bc438c" /><Relationship Type="http://schemas.openxmlformats.org/officeDocument/2006/relationships/worksheet" Target="/xl/worksheets/sheet13.xml" Id="R40472217c4d541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528f75d85449e9" /><Relationship Type="http://schemas.openxmlformats.org/officeDocument/2006/relationships/chart" Target="/xl/drawings/charts/chart2.xml" Id="R2a8ff301072740f3" /><Relationship Type="http://schemas.openxmlformats.org/officeDocument/2006/relationships/chart" Target="/xl/drawings/charts/chart3.xml" Id="R00ec6cc1ded94281" /><Relationship Type="http://schemas.openxmlformats.org/officeDocument/2006/relationships/chart" Target="/xl/drawings/charts/chart4.xml" Id="Re43d9d2914d44d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All NISA Accounts, 2014-2025 (m)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All NISA Accounts (m)</c:v>
          </c:tx>
          <c:marker>
            <c:symbol val="none"/>
          </c:marker>
          <c:cat>
            <c:strRef>
              <c:f>'00_Dashboard'!$P$3:$P$14</c:f>
              <c:strCache>
                <c:ptCount val="0"/>
              </c:strCache>
            </c:strRef>
          </c:cat>
          <c:val>
            <c:numRef>
              <c:f>'00_Dashboard'!$Q$3:$Q$14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Securities NISA Annual Purchases (¥tn)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Securities Annual Purchases (¥tn)</c:v>
          </c:tx>
          <c:cat>
            <c:strRef>
              <c:f>'00_Dashboard'!$S$3:$S$9</c:f>
              <c:strCache>
                <c:ptCount val="0"/>
              </c:strCache>
            </c:strRef>
          </c:cat>
          <c:val>
            <c:numRef>
              <c:f>'00_Dashboard'!$T$3:$T$9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2023-2024 Account Growth by 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2023→2024 Growth</c:v>
          </c:tx>
          <c:cat>
            <c:strRef>
              <c:f>'00_Dashboard'!$V$3:$V$9</c:f>
              <c:strCache>
                <c:ptCount val="0"/>
              </c:strCache>
            </c:strRef>
          </c:cat>
          <c:val>
            <c:numRef>
              <c:f>'00_Dashboard'!$W$3:$W$9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Household Asset Composition Snapshots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Cash &amp; Deposits</c:v>
          </c:tx>
          <c:marker>
            <c:symbol val="none"/>
          </c:marker>
          <c:cat>
            <c:strRef>
              <c:f>'00_Dashboard'!$Y$3:$Y$5</c:f>
              <c:strCache>
                <c:ptCount val="0"/>
              </c:strCache>
            </c:strRef>
          </c:cat>
          <c:val>
            <c:numRef>
              <c:f>'00_Dashboard'!$Z$3:$Z$5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Equity + Funds</c:v>
          </c:tx>
          <c:marker>
            <c:symbol val="none"/>
          </c:marker>
          <c:cat>
            <c:strRef>
              <c:f>'00_Dashboard'!$Y$3:$Y$5</c:f>
              <c:strCache>
                <c:ptCount val="0"/>
              </c:strCache>
            </c:strRef>
          </c:cat>
          <c:val>
            <c:numRef>
              <c:f>'00_Dashboard'!$AA$3:$AA$5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58</xdr:row>
      <xdr:rowOff>0</xdr:rowOff>
    </xdr:from>
    <xdr:to>
      <xdr:col>7</xdr:col>
      <xdr:colOff>0</xdr:colOff>
      <xdr:row>74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528f75d85449e9"/>
        </a:graphicData>
      </a:graphic>
    </xdr:graphicFrame>
    <xdr:clientData/>
  </xdr:twoCellAnchor>
  <xdr:twoCellAnchor>
    <xdr:from>
      <xdr:col>7</xdr:col>
      <xdr:colOff>0</xdr:colOff>
      <xdr:row>58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8ff301072740f3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7</xdr:col>
      <xdr:colOff>0</xdr:colOff>
      <xdr:row>93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ec6cc1ded94281"/>
        </a:graphicData>
      </a:graphic>
    </xdr:graphicFrame>
    <xdr:clientData/>
  </xdr:twoCellAnchor>
  <xdr:twoCellAnchor>
    <xdr:from>
      <xdr:col>7</xdr:col>
      <xdr:colOff>0</xdr:colOff>
      <xdr:row>76</xdr:row>
      <xdr:rowOff>0</xdr:rowOff>
    </xdr:from>
    <xdr:to>
      <xdr:col>14</xdr:col>
      <xdr:colOff>0</xdr:colOff>
      <xdr:row>93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3d9d2914d44d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83226e270341e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6" max="16" width="2" hidden="0" customWidth="1"/>
    <x:col min="17" max="17" width="2" hidden="0" customWidth="1"/>
    <x:col min="19" max="19" width="2" hidden="0" customWidth="1"/>
    <x:col min="20" max="20" width="2" hidden="0" customWidth="1"/>
    <x:col min="22" max="22" width="2" hidden="0" customWidth="1"/>
    <x:col min="23" max="23" width="2" hidden="0" customWidth="1"/>
    <x:col min="25" max="25" width="2" hidden="0" customWidth="1"/>
    <x:col min="26" max="26" width="2" hidden="0" customWidth="1"/>
    <x:col min="27" max="27" width="2" hidden="0" customWidth="1"/>
  </x:cols>
  <x:sheetData>
    <x:row r="1" ht="19.200000762939453" hidden="0" customHeight="1">
      <x:c r="A1" s="4" t="str">
        <x:v>New NISA Adoption and the Opportunity for Japanese Brokerage Firms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15" hidden="0" customHeight="1">
      <x:c r="A2" s="10" t="str">
        <x:v>2014-2025 history | 2023-2025 pre/post focus | 2026 context | evidence-anchored Rakuten scenario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P2" t="str">
        <x:v>Year</x:v>
      </x:c>
      <x:c r="Q2" t="str">
        <x:v>All NISA Accounts (m)</x:v>
      </x:c>
      <x:c r="S2" t="str">
        <x:v>Year</x:v>
      </x:c>
      <x:c r="T2" t="str">
        <x:v>Securities Annual Purchases (¥tn)</x:v>
      </x:c>
      <x:c r="V2" t="str">
        <x:v>Age Cohort</x:v>
      </x:c>
      <x:c r="W2" t="str">
        <x:v>2023→2024 Growth</x:v>
      </x:c>
      <x:c r="Y2" t="str">
        <x:v>Snapshot</x:v>
      </x:c>
      <x:c r="Z2" t="str">
        <x:v>Cash &amp; Deposits</x:v>
      </x:c>
      <x:c r="AA2" t="str">
        <x:v>Equity + Funds</x:v>
      </x:c>
    </x:row>
    <x:row r="3">
      <x:c r="P3" s="36" t="n">
        <x:f>'03_Clean_NISA'!A6</x:f>
        <x:v>2014</x:v>
      </x:c>
      <x:c r="Q3" s="36" t="n">
        <x:f>'03_Clean_NISA'!B6</x:f>
        <x:v>8.25</x:v>
      </x:c>
      <x:c r="S3" s="36" t="n">
        <x:f>'03_Clean_NISA'!A11</x:f>
        <x:v>2019</x:v>
      </x:c>
      <x:c r="T3" s="36" t="n">
        <x:f>'03_Clean_NISA'!I11</x:f>
        <x:v>1.6372</x:v>
      </x:c>
      <x:c r="V3" s="36" t="str">
        <x:f>'04_Age_Data'!A6</x:f>
        <x:v>&lt;=20s</x:v>
      </x:c>
      <x:c r="W3" s="36" t="n">
        <x:f>'04_Age_Data'!D6</x:f>
        <x:v>0.32709189542500616</x:v>
      </x:c>
      <x:c r="Y3" s="36" t="str">
        <x:f>'06_HH_Assets'!A23</x:f>
        <x:v>2023-12</x:v>
      </x:c>
      <x:c r="Z3" s="36" t="n">
        <x:f>'06_HH_Assets'!B23</x:f>
        <x:v>0.526</x:v>
      </x:c>
      <x:c r="AA3" s="36" t="n">
        <x:f>'06_HH_Assets'!G23</x:f>
        <x:v>0.179</x:v>
      </x:c>
    </x:row>
    <x:row r="4">
      <x:c r="A4" s="132" t="str">
        <x:v>Research question: How much did Japanese retail-investor participation increase around the 2024 expansion of NISA, particularly among younger investors, and what does that growth imply for Japanese financial institutions and firms?</x:v>
      </x:c>
      <x:c r="B4" s="132"/>
      <x:c r="C4" s="132"/>
      <x:c r="D4" s="132"/>
      <x:c r="E4" s="132"/>
      <x:c r="F4" s="132"/>
      <x:c r="G4" s="132"/>
      <x:c r="H4" s="132"/>
      <x:c r="I4" s="132"/>
      <x:c r="J4" s="132"/>
      <x:c r="K4" s="132"/>
      <x:c r="L4" s="132"/>
      <x:c r="M4" s="132"/>
      <x:c r="N4" s="132"/>
      <x:c r="P4" s="36" t="n">
        <x:f>'03_Clean_NISA'!A7</x:f>
        <x:v>2015</x:v>
      </x:c>
      <x:c r="Q4" s="36" t="n">
        <x:f>'03_Clean_NISA'!B7</x:f>
        <x:v>9.88</x:v>
      </x:c>
      <x:c r="S4" s="36" t="n">
        <x:f>'03_Clean_NISA'!A12</x:f>
        <x:v>2020</x:v>
      </x:c>
      <x:c r="T4" s="36" t="n">
        <x:f>'03_Clean_NISA'!I12</x:f>
        <x:v>2.2447</x:v>
      </x:c>
      <x:c r="V4" s="36" t="str">
        <x:f>'04_Age_Data'!A7</x:f>
        <x:v>30s</x:v>
      </x:c>
      <x:c r="W4" s="36" t="n">
        <x:f>'04_Age_Data'!D7</x:f>
        <x:v>0.21011101488029338</x:v>
      </x:c>
      <x:c r="Y4" s="36" t="str">
        <x:f>'06_HH_Assets'!A24</x:f>
        <x:v>2024-03</x:v>
      </x:c>
      <x:c r="Z4" s="36" t="n">
        <x:f>'06_HH_Assets'!B24</x:f>
        <x:v>0.512</x:v>
      </x:c>
      <x:c r="AA4" s="36" t="n">
        <x:f>'06_HH_Assets'!G24</x:f>
        <x:v>0.192</x:v>
      </x:c>
    </x:row>
    <x:row r="5">
      <x:c r="A5" s="132"/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P5" s="36" t="n">
        <x:f>'03_Clean_NISA'!A8</x:f>
        <x:v>2016</x:v>
      </x:c>
      <x:c r="Q5" s="36" t="n">
        <x:f>'03_Clean_NISA'!B8</x:f>
        <x:v>10.61</x:v>
      </x:c>
      <x:c r="S5" s="36" t="n">
        <x:f>'03_Clean_NISA'!A13</x:f>
        <x:v>2021</x:v>
      </x:c>
      <x:c r="T5" s="36" t="n">
        <x:f>'03_Clean_NISA'!I13</x:f>
        <x:v>2.878499999999999</x:v>
      </x:c>
      <x:c r="V5" s="36" t="str">
        <x:f>'04_Age_Data'!A8</x:f>
        <x:v>40s</x:v>
      </x:c>
      <x:c r="W5" s="36" t="n">
        <x:f>'04_Age_Data'!D8</x:f>
        <x:v>0.21719683555163516</x:v>
      </x:c>
      <x:c r="Y5" s="36" t="str">
        <x:f>'06_HH_Assets'!A25</x:f>
        <x:v>2025-09</x:v>
      </x:c>
      <x:c r="Z5" s="36" t="n">
        <x:f>'06_HH_Assets'!B25</x:f>
        <x:v>0.49</x:v>
      </x:c>
      <x:c r="AA5" s="36" t="n">
        <x:f>'06_HH_Assets'!G25</x:f>
        <x:v>0.22</x:v>
      </x:c>
    </x:row>
    <x:row r="6">
      <x:c r="A6" s="132"/>
      <x:c r="B6" s="132"/>
      <x:c r="C6" s="132"/>
      <x:c r="D6" s="132"/>
      <x:c r="E6" s="132"/>
      <x:c r="F6" s="132"/>
      <x:c r="G6" s="132"/>
      <x:c r="H6" s="132"/>
      <x:c r="I6" s="132"/>
      <x:c r="J6" s="132"/>
      <x:c r="K6" s="132"/>
      <x:c r="L6" s="132"/>
      <x:c r="M6" s="132"/>
      <x:c r="N6" s="132"/>
      <x:c r="P6" s="36" t="n">
        <x:f>'03_Clean_NISA'!A9</x:f>
        <x:v>2017</x:v>
      </x:c>
      <x:c r="Q6" s="36" t="n">
        <x:f>'03_Clean_NISA'!B9</x:f>
        <x:v>10.99</x:v>
      </x:c>
      <x:c r="S6" s="36" t="n">
        <x:f>'03_Clean_NISA'!A14</x:f>
        <x:v>2022</x:v>
      </x:c>
      <x:c r="T6" s="36" t="n">
        <x:f>'03_Clean_NISA'!I14</x:f>
        <x:v>3.2055000000000007</x:v>
      </x:c>
      <x:c r="V6" s="36" t="str">
        <x:f>'04_Age_Data'!A9</x:f>
        <x:v>50s</x:v>
      </x:c>
      <x:c r="W6" s="36" t="n">
        <x:f>'04_Age_Data'!D9</x:f>
        <x:v>0.25506719805613454</x:v>
      </x:c>
    </x:row>
    <x:row r="7">
      <x:c r="P7" s="36" t="n">
        <x:f>'03_Clean_NISA'!A10</x:f>
        <x:v>2018</x:v>
      </x:c>
      <x:c r="Q7" s="36" t="n">
        <x:f>'03_Clean_NISA'!B10</x:f>
        <x:v>12.54</x:v>
      </x:c>
      <x:c r="S7" s="36" t="n">
        <x:f>'03_Clean_NISA'!A15</x:f>
        <x:v>2023</x:v>
      </x:c>
      <x:c r="T7" s="36" t="n">
        <x:f>'03_Clean_NISA'!I15</x:f>
        <x:v>3.8488000000000007</x:v>
      </x:c>
      <x:c r="V7" s="36" t="str">
        <x:f>'04_Age_Data'!A10</x:f>
        <x:v>60s</x:v>
      </x:c>
      <x:c r="W7" s="36" t="n">
        <x:f>'04_Age_Data'!D10</x:f>
        <x:v>0.1825423829269739</x:v>
      </x:c>
    </x:row>
    <x:row r="8" ht="15" hidden="0" customHeight="1">
      <x:c r="A8" s="22" t="str">
        <x:v>Executive answer</x:v>
      </x:c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P8" s="36" t="n">
        <x:f>'03_Clean_NISA'!A11</x:f>
        <x:v>2019</x:v>
      </x:c>
      <x:c r="Q8" s="36" t="n">
        <x:f>'03_Clean_NISA'!B11</x:f>
        <x:v>13.64</x:v>
      </x:c>
      <x:c r="S8" s="36" t="n">
        <x:f>'03_Clean_NISA'!A16</x:f>
        <x:v>2024</x:v>
      </x:c>
      <x:c r="T8" s="36" t="n">
        <x:f>'03_Clean_NISA'!I16</x:f>
        <x:v>14.044700000000002</x:v>
      </x:c>
      <x:c r="V8" s="36" t="str">
        <x:f>'04_Age_Data'!A11</x:f>
        <x:v>70s</x:v>
      </x:c>
      <x:c r="W8" s="36" t="n">
        <x:f>'04_Age_Data'!D11</x:f>
        <x:v>0.08010933197720704</x:v>
      </x:c>
    </x:row>
    <x:row r="9">
      <x:c r="A9" s="134" t="str">
        <x:v>New NISA was associated with a large and persistent acceleration in retail participation. Final national accounts rose from 21.25m in 2023 to 25.59m in 2024 (+20.4%) and 28.21m in 2025 (+10.2%; +32.8% versus 2023). Securities-company NISA purchases rose from ¥3.8488tn in 2023 to ¥14.0447tn in 2024 (+264.9%) and ¥15.3540tn in 2025 (+9.3%). The &lt;=20s cohort recorded the fastest 2023-24 account growth (+32.7%), while 30s had the highest direct 2025 penetration (37.3%); 50s also grew strongly, so the age effect is broad working-age diffusion rather than a monotonic relationship. Rakuten and SBI show the clearest direct digital exposure, while Nomura and Daiwa benefit through recurring/advisory assets and product manufacturing. These are descriptive associations, not a clean causal estimate of the reform alone.</x:v>
      </x:c>
      <x:c r="B9" s="134"/>
      <x:c r="C9" s="134"/>
      <x:c r="D9" s="134"/>
      <x:c r="E9" s="134"/>
      <x:c r="F9" s="134"/>
      <x:c r="G9" s="134"/>
      <x:c r="H9" s="134"/>
      <x:c r="I9" s="134"/>
      <x:c r="J9" s="134"/>
      <x:c r="K9" s="134"/>
      <x:c r="L9" s="134"/>
      <x:c r="M9" s="134"/>
      <x:c r="N9" s="134"/>
      <x:c r="P9" s="36" t="n">
        <x:f>'03_Clean_NISA'!A12</x:f>
        <x:v>2020</x:v>
      </x:c>
      <x:c r="Q9" s="36" t="n">
        <x:f>'03_Clean_NISA'!B12</x:f>
        <x:v>15.23</x:v>
      </x:c>
      <x:c r="S9" s="36" t="n">
        <x:f>'03_Clean_NISA'!A17</x:f>
        <x:v>2025</x:v>
      </x:c>
      <x:c r="T9" s="36" t="n">
        <x:f>'03_Clean_NISA'!I17</x:f>
        <x:v>15.354</x:v>
      </x:c>
      <x:c r="V9" s="36" t="str">
        <x:f>'04_Age_Data'!A12</x:f>
        <x:v>80+</x:v>
      </x:c>
      <x:c r="W9" s="36" t="n">
        <x:f>'04_Age_Data'!D12</x:f>
        <x:v>0.12112415617892558</x:v>
      </x:c>
    </x:row>
    <x:row r="10">
      <x:c r="A10" s="134"/>
      <x:c r="B10" s="134"/>
      <x:c r="C10" s="134"/>
      <x:c r="D10" s="134"/>
      <x:c r="E10" s="134"/>
      <x:c r="F10" s="134"/>
      <x:c r="G10" s="134"/>
      <x:c r="H10" s="134"/>
      <x:c r="I10" s="134"/>
      <x:c r="J10" s="134"/>
      <x:c r="K10" s="134"/>
      <x:c r="L10" s="134"/>
      <x:c r="M10" s="134"/>
      <x:c r="N10" s="134"/>
      <x:c r="P10" s="36" t="n">
        <x:f>'03_Clean_NISA'!A13</x:f>
        <x:v>2021</x:v>
      </x:c>
      <x:c r="Q10" s="36" t="n">
        <x:f>'03_Clean_NISA'!B13</x:f>
        <x:v>17.65</x:v>
      </x:c>
    </x:row>
    <x:row r="11">
      <x:c r="A11" s="134"/>
      <x:c r="B11" s="134"/>
      <x:c r="C11" s="134"/>
      <x:c r="D11" s="134"/>
      <x:c r="E11" s="134"/>
      <x:c r="F11" s="134"/>
      <x:c r="G11" s="134"/>
      <x:c r="H11" s="134"/>
      <x:c r="I11" s="134"/>
      <x:c r="J11" s="134"/>
      <x:c r="K11" s="134"/>
      <x:c r="L11" s="134"/>
      <x:c r="M11" s="134"/>
      <x:c r="N11" s="134"/>
      <x:c r="P11" s="36" t="n">
        <x:f>'03_Clean_NISA'!A14</x:f>
        <x:v>2022</x:v>
      </x:c>
      <x:c r="Q11" s="36" t="n">
        <x:f>'03_Clean_NISA'!B14</x:f>
        <x:v>18.01</x:v>
      </x:c>
    </x:row>
    <x:row r="12">
      <x:c r="A12" s="134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P12" s="36" t="n">
        <x:f>'03_Clean_NISA'!A15</x:f>
        <x:v>2023</x:v>
      </x:c>
      <x:c r="Q12" s="36" t="n">
        <x:f>'03_Clean_NISA'!B15</x:f>
        <x:v>21.25</x:v>
      </x:c>
    </x:row>
    <x:row r="13">
      <x:c r="P13" s="36" t="n">
        <x:f>'03_Clean_NISA'!A16</x:f>
        <x:v>2024</x:v>
      </x:c>
      <x:c r="Q13" s="36" t="n">
        <x:f>'03_Clean_NISA'!B16</x:f>
        <x:v>25.59</x:v>
      </x:c>
    </x:row>
    <x:row r="14" ht="15" hidden="0" customHeight="1">
      <x:c r="A14" s="22" t="str">
        <x:v>Key quantitative findings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P14" s="36" t="n">
        <x:f>'03_Clean_NISA'!A17</x:f>
        <x:v>2025</x:v>
      </x:c>
      <x:c r="Q14" s="36" t="n">
        <x:f>'03_Clean_NISA'!B17</x:f>
        <x:v>28.21</x:v>
      </x:c>
    </x:row>
    <x:row r="15" ht="15" hidden="0" customHeight="1">
      <x:c r="A15" s="136" t="str">
        <x:v>2024 All-Account Growth</x:v>
      </x:c>
      <x:c r="B15" s="136"/>
      <x:c r="C15" s="136"/>
      <x:c r="D15" s="136" t="str">
        <x:v>2024 Sec. Account Growth</x:v>
      </x:c>
      <x:c r="E15" s="136"/>
      <x:c r="F15" s="136"/>
      <x:c r="G15" s="136" t="str">
        <x:v>2024 Sec. Purchase Growth</x:v>
      </x:c>
      <x:c r="H15" s="136"/>
      <x:c r="I15" s="136"/>
      <x:c r="J15" s="136" t="str">
        <x:v>2024 / Pre Purchase Avg</x:v>
      </x:c>
      <x:c r="K15" s="136"/>
      <x:c r="L15" s="136"/>
    </x:row>
    <x:row r="16">
      <x:c r="A16" s="142" t="n">
        <x:f>'03_Clean_NISA'!C16</x:f>
        <x:v>0.20423529411764707</x:v>
      </x:c>
      <x:c r="B16" s="140"/>
      <x:c r="C16" s="140"/>
      <x:c r="D16" s="142" t="n">
        <x:f>'03_Clean_NISA'!F16</x:f>
        <x:v>0.2626050420168069</x:v>
      </x:c>
      <x:c r="E16" s="140"/>
      <x:c r="F16" s="140"/>
      <x:c r="G16" s="142" t="n">
        <x:f>'03_Clean_NISA'!J16</x:f>
        <x:v>2.6491114113489918</x:v>
      </x:c>
      <x:c r="H16" s="140"/>
      <x:c r="I16" s="140"/>
      <x:c r="J16" s="146" t="n">
        <x:f>'03_Clean_NISA'!C30</x:f>
        <x:v>5.083244659674116</x:v>
      </x:c>
      <x:c r="K16" s="140"/>
      <x:c r="L16" s="140"/>
    </x:row>
    <x:row r="17">
      <x:c r="A17" s="140"/>
      <x:c r="B17" s="140"/>
      <x:c r="C17" s="140"/>
      <x:c r="D17" s="140"/>
      <x:c r="E17" s="140"/>
      <x:c r="F17" s="140"/>
      <x:c r="G17" s="140"/>
      <x:c r="H17" s="140"/>
      <x:c r="I17" s="140"/>
      <x:c r="J17" s="140"/>
      <x:c r="K17" s="140"/>
      <x:c r="L17" s="140"/>
    </x:row>
    <x:row r="18" ht="15" hidden="0" customHeight="1">
      <x:c r="A18" s="144" t="str">
        <x:v>vs pre-2024 average</x:v>
      </x:c>
      <x:c r="B18" s="144"/>
      <x:c r="C18" s="144"/>
      <x:c r="D18" s="144" t="str">
        <x:v>vs pre-2024 average</x:v>
      </x:c>
      <x:c r="E18" s="144"/>
      <x:c r="F18" s="144"/>
      <x:c r="G18" s="144" t="str">
        <x:v>¥3.85tn → ¥14.04tn</x:v>
      </x:c>
      <x:c r="H18" s="144"/>
      <x:c r="I18" s="144"/>
      <x:c r="J18" s="144" t="str">
        <x:v>vs 2019-2023 mean</x:v>
      </x:c>
      <x:c r="K18" s="144"/>
      <x:c r="L18" s="144"/>
    </x:row>
    <x:row r="19"/>
    <x:row r="20"/>
    <x:row r="21" ht="15" hidden="0" customHeight="1">
      <x:c r="A21" s="22" t="str">
        <x:v>Age / behavior findings</x:v>
      </x:c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</x:row>
    <x:row r="22" ht="15" hidden="0" customHeight="1">
      <x:c r="A22" s="14" t="str">
        <x:v>Fastest 2023→24 Cohort Growth</x:v>
      </x:c>
      <x:c r="B22" s="14"/>
      <x:c r="C22" s="14"/>
      <x:c r="D22" s="14"/>
      <x:c r="E22" s="14" t="str">
        <x:v>Highest 2025 Penetration</x:v>
      </x:c>
      <x:c r="F22" s="14"/>
      <x:c r="G22" s="14"/>
      <x:c r="H22" s="14"/>
      <x:c r="I22" s="14" t="str">
        <x:v>&lt;=20s Accumulation Share</x:v>
      </x:c>
      <x:c r="J22" s="14"/>
      <x:c r="K22" s="14"/>
      <x:c r="L22" s="14"/>
    </x:row>
    <x:row r="23">
      <x:c r="A23" s="142" t="n">
        <x:f>'04_Age_Data'!D6</x:f>
        <x:v>0.32709189542500616</x:v>
      </x:c>
      <x:c r="B23" s="140"/>
      <x:c r="C23" s="140"/>
      <x:c r="D23" s="140"/>
      <x:c r="E23" s="142" t="n">
        <x:f>'04_Age_Data'!C20</x:f>
        <x:v>0.373</x:v>
      </x:c>
      <x:c r="F23" s="140"/>
      <x:c r="G23" s="140"/>
      <x:c r="H23" s="140"/>
      <x:c r="I23" s="142" t="n">
        <x:f>'04_Age_Data'!E31</x:f>
        <x:v>0.469008613409897</x:v>
      </x:c>
      <x:c r="J23" s="140"/>
      <x:c r="K23" s="140"/>
      <x:c r="L23" s="140"/>
    </x:row>
    <x:row r="24">
      <x:c r="A24" s="140"/>
      <x:c r="B24" s="140"/>
      <x:c r="C24" s="140"/>
      <x:c r="D24" s="140"/>
      <x:c r="E24" s="140"/>
      <x:c r="F24" s="140"/>
      <x:c r="G24" s="140"/>
      <x:c r="H24" s="140"/>
      <x:c r="I24" s="140"/>
      <x:c r="J24" s="140"/>
      <x:c r="K24" s="140"/>
      <x:c r="L24" s="140"/>
    </x:row>
    <x:row r="25" ht="15" hidden="0" customHeight="1">
      <x:c r="A25" s="144" t="str">
        <x:v>&lt;=20s merged cohort</x:v>
      </x:c>
      <x:c r="B25" s="144"/>
      <x:c r="C25" s="144"/>
      <x:c r="D25" s="144"/>
      <x:c r="E25" s="144" t="str">
        <x:v>30s; +3.5 pp vs 2024</x:v>
      </x:c>
      <x:c r="F25" s="144"/>
      <x:c r="G25" s="144"/>
      <x:c r="H25" s="144"/>
      <x:c r="I25" s="144" t="str">
        <x:v>2024 quota purchases</x:v>
      </x:c>
      <x:c r="J25" s="144"/>
      <x:c r="K25" s="144"/>
      <x:c r="L25" s="144"/>
    </x:row>
    <x:row r="26"/>
    <x:row r="27"/>
    <x:row r="28" ht="15" hidden="0" customHeight="1">
      <x:c r="A28" s="22" t="str">
        <x:v>Hypothesis assessment</x:v>
      </x:c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</x:row>
    <x:row r="29" ht="30" hidden="0" customHeight="1">
      <x:c r="A29" s="156" t="str">
        <x:v>Hypothesis</x:v>
      </x:c>
      <x:c r="B29" s="156" t="str">
        <x:v>Result</x:v>
      </x:c>
      <x:c r="C29" s="156" t="str">
        <x:v>Result</x:v>
      </x:c>
      <x:c r="D29" s="156" t="str">
        <x:v>Implication</x:v>
      </x:c>
      <x:c r="E29" s="156" t="str">
        <x:v>Evidence</x:v>
      </x:c>
      <x:c r="F29" s="156" t="str"/>
      <x:c r="G29" s="156" t="str"/>
      <x:c r="H29" s="156" t="str"/>
      <x:c r="I29" s="156" t="str"/>
      <x:c r="J29" s="156" t="str">
        <x:v>Implication</x:v>
      </x:c>
      <x:c r="K29" s="156" t="str"/>
      <x:c r="L29" s="156" t="str"/>
      <x:c r="M29" s="156" t="str"/>
      <x:c r="N29" s="156" t="str"/>
    </x:row>
    <x:row r="30" ht="30" hidden="0" customHeight="1">
      <x:c r="A30" s="18" t="str">
        <x:v>H1 - Participation acceleration</x:v>
      </x:c>
      <x:c r="B30" s="18" t="str">
        <x:v>SUPPORTED</x:v>
      </x:c>
      <x:c r="C30" s="18" t="str">
        <x:v>SUPPORTED</x:v>
      </x:c>
      <x:c r="D30" s="18" t="str">
        <x:v>Structural retail participation expanded materially around reform.</x:v>
      </x:c>
      <x:c r="E30" s="18" t="str">
        <x:v>2024 all accounts +20.4%; securities accounts +26.3%; securities purchases +264.9%; 2025 remained far above 2023.</x:v>
      </x:c>
      <x:c r="F30" s="18" t="str"/>
      <x:c r="G30" s="18" t="str"/>
      <x:c r="H30" s="18" t="str"/>
      <x:c r="I30" s="18" t="str"/>
      <x:c r="J30" s="18" t="str">
        <x:v>Structural retail participation expanded materially around the reform.</x:v>
      </x:c>
      <x:c r="K30" s="18" t="str"/>
      <x:c r="L30" s="18" t="str"/>
      <x:c r="M30" s="18" t="str"/>
      <x:c r="N30" s="18" t="str"/>
    </x:row>
    <x:row r="31" ht="30" hidden="0" customHeight="1">
      <x:c r="A31" s="18" t="str">
        <x:v>H2 - Younger adoption</x:v>
      </x:c>
      <x:c r="B31" s="18" t="str">
        <x:v>SUPPORTED, QUALIFIED</x:v>
      </x:c>
      <x:c r="C31" s="18" t="str">
        <x:v>SUPPORTED, QUALIFIED</x:v>
      </x:c>
      <x:c r="D31" s="18" t="str">
        <x:v>Digital/recurring capabilities matter, but working-age adoption is broad.</x:v>
      </x:c>
      <x:c r="E31" s="18" t="str">
        <x:v>&lt;=20s account stock +32.7% in 2024; 30s penetration reached 37.3% in 2025; 50s also grew +25.5% in 2024.</x:v>
      </x:c>
      <x:c r="F31" s="18" t="str"/>
      <x:c r="G31" s="18" t="str"/>
      <x:c r="H31" s="18" t="str"/>
      <x:c r="I31" s="18" t="str"/>
      <x:c r="J31" s="18" t="str">
        <x:v>Digital and recurring-investment capabilities matter, but adoption is broad across working-age cohorts.</x:v>
      </x:c>
      <x:c r="K31" s="18" t="str"/>
      <x:c r="L31" s="18" t="str"/>
      <x:c r="M31" s="18" t="str"/>
      <x:c r="N31" s="18" t="str"/>
    </x:row>
    <x:row r="32" ht="30" hidden="0" customHeight="1">
      <x:c r="A32" s="18" t="str">
        <x:v>H3 - Firm benefits</x:v>
      </x:c>
      <x:c r="B32" s="18" t="str">
        <x:v>SUPPORTED, QUALIFIED</x:v>
      </x:c>
      <x:c r="C32" s="18" t="str">
        <x:v>SUPPORTED, QUALIFIED</x:v>
      </x:c>
      <x:c r="D32" s="18" t="str">
        <x:v>Digital firms have clearest direct leverage; incumbents monetize through advice/AUM/products.</x:v>
      </x:c>
      <x:c r="E32" s="18" t="str">
        <x:v>Rakuten/SBI show direct NISA/customer/fund growth; Nomura shows recurring-asset inflows; Daiwa shows NISA-eligible fund inflows.</x:v>
      </x:c>
      <x:c r="F32" s="18" t="str"/>
      <x:c r="G32" s="18" t="str"/>
      <x:c r="H32" s="18" t="str"/>
      <x:c r="I32" s="18" t="str"/>
      <x:c r="J32" s="18" t="str">
        <x:v>Digital firms have the clearest direct leverage; incumbents can monetize advice, recurring AUM and product manufacturing.</x:v>
      </x:c>
      <x:c r="K32" s="18" t="str"/>
      <x:c r="L32" s="18" t="str"/>
      <x:c r="M32" s="18" t="str"/>
      <x:c r="N32" s="18" t="str"/>
    </x:row>
    <x:row r="33"/>
    <x:row r="34"/>
    <x:row r="35" ht="15" hidden="0" customHeight="1">
      <x:c r="A35" s="22" t="str">
        <x:v>Household shift and causality guardrail</x:v>
      </x:c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</x:row>
    <x:row r="36">
      <x:c r="A36" s="148" t="str">
        <x:v>Household evidence: BOJ/FSA composition snapshots show cash/deposits falling from 52.6% at end-2023 to 49.0% at end-Sep 2025, while equity + investment funds rose from 17.9% to 22.0%. FSA's broader market-linked proxy rose from 20.1% in 2023 to 22.4% in 2024. This is consistent with 'savings to investment,' but valuation/reconciliation effects prevent interpreting the stock changes as direct deposit-to-NISA flows.</x:v>
      </x:c>
      <x:c r="B36" s="148"/>
      <x:c r="C36" s="148"/>
      <x:c r="D36" s="148"/>
      <x:c r="E36" s="148"/>
      <x:c r="F36" s="148"/>
      <x:c r="G36" s="148"/>
      <x:c r="H36" s="84" t="str">
        <x:v>Survey support: 74.9% of 7,610 surveyed New NISA users cited deposits/salary/pension as a funding source (multiple response). That supports genuinely new household funding, but the category mixes deposits with current income/pension and cannot identify a specific yen amount shifted from cash holdings.</x:v>
      </x:c>
      <x:c r="I36" s="84"/>
      <x:c r="J36" s="84"/>
      <x:c r="K36" s="84"/>
      <x:c r="L36" s="84"/>
      <x:c r="M36" s="84"/>
      <x:c r="N36" s="84"/>
    </x:row>
    <x:row r="37">
      <x:c r="A37" s="148"/>
      <x:c r="B37" s="148"/>
      <x:c r="C37" s="148"/>
      <x:c r="D37" s="148"/>
      <x:c r="E37" s="148"/>
      <x:c r="F37" s="148"/>
      <x:c r="G37" s="148"/>
      <x:c r="H37" s="84"/>
      <x:c r="I37" s="84"/>
      <x:c r="J37" s="84"/>
      <x:c r="K37" s="84"/>
      <x:c r="L37" s="84"/>
      <x:c r="M37" s="84"/>
      <x:c r="N37" s="84"/>
    </x:row>
    <x:row r="38">
      <x:c r="A38" s="148"/>
      <x:c r="B38" s="148"/>
      <x:c r="C38" s="148"/>
      <x:c r="D38" s="148"/>
      <x:c r="E38" s="148"/>
      <x:c r="F38" s="148"/>
      <x:c r="G38" s="148"/>
      <x:c r="H38" s="84"/>
      <x:c r="I38" s="84"/>
      <x:c r="J38" s="84"/>
      <x:c r="K38" s="84"/>
      <x:c r="L38" s="84"/>
      <x:c r="M38" s="84"/>
      <x:c r="N38" s="84"/>
    </x:row>
    <x:row r="39">
      <x:c r="A39" s="148"/>
      <x:c r="B39" s="148"/>
      <x:c r="C39" s="148"/>
      <x:c r="D39" s="148"/>
      <x:c r="E39" s="148"/>
      <x:c r="F39" s="148"/>
      <x:c r="G39" s="148"/>
      <x:c r="H39" s="84"/>
      <x:c r="I39" s="84"/>
      <x:c r="J39" s="84"/>
      <x:c r="K39" s="84"/>
      <x:c r="L39" s="84"/>
      <x:c r="M39" s="84"/>
      <x:c r="N39" s="84"/>
    </x:row>
    <x:row r="40">
      <x:c r="A40" s="148"/>
      <x:c r="B40" s="148"/>
      <x:c r="C40" s="148"/>
      <x:c r="D40" s="148"/>
      <x:c r="E40" s="148"/>
      <x:c r="F40" s="148"/>
      <x:c r="G40" s="148"/>
      <x:c r="H40" s="84"/>
      <x:c r="I40" s="84"/>
      <x:c r="J40" s="84"/>
      <x:c r="K40" s="84"/>
      <x:c r="L40" s="84"/>
      <x:c r="M40" s="84"/>
      <x:c r="N40" s="84"/>
    </x:row>
    <x:row r="41"/>
    <x:row r="42"/>
    <x:row r="43" ht="15" hidden="0" customHeight="1">
      <x:c r="A43" s="22" t="str">
        <x:v>Rakuten Securities 2028 scenario</x:v>
      </x:c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</x:row>
    <x:row r="44" ht="32.400001525878906" hidden="0" customHeight="1">
      <x:c r="A44" s="16" t="str">
        <x:v>Scenario</x:v>
      </x:c>
      <x:c r="B44" s="16" t="str">
        <x:v>2028 Accounts (m)</x:v>
      </x:c>
      <x:c r="C44" s="16" t="str">
        <x:v>Revenue (¥bn)</x:v>
      </x:c>
      <x:c r="D44" s="16" t="str">
        <x:v>Net Income Proxy (¥bn)</x:v>
      </x:c>
      <x:c r="E44" s="16" t="str">
        <x:v>18.0x Equity-Value Sensitivity (¥bn)</x:v>
      </x:c>
      <x:c r="F44" s="16" t="str">
        <x:v>Evidence Anchor</x:v>
      </x:c>
      <x:c r="G44" s="18"/>
      <x:c r="H44" s="84" t="str">
        <x:v>Valuation caveat: the 16.2x-19.8x PER range comes from Daiwa Securities' May-2026 Rakuten Securities HD valuation work. Applying it to the simplified Rakuten Securities Inc. forecast makes these illustrative sensitivities, not formal stand-alone equity values.</x:v>
      </x:c>
      <x:c r="I44" s="84"/>
      <x:c r="J44" s="84"/>
      <x:c r="K44" s="84"/>
      <x:c r="L44" s="84"/>
      <x:c r="M44" s="84"/>
      <x:c r="N44" s="84"/>
    </x:row>
    <x:row r="45" ht="15" hidden="0" customHeight="1">
      <x:c r="A45" s="36" t="str">
        <x:f>'10_Rakuten_Scenario'!A28</x:f>
        <x:v>Bear</x:v>
      </x:c>
      <x:c r="B45" s="40" t="n">
        <x:f>'10_Rakuten_Scenario'!C28</x:f>
        <x:v>17.76404746288645</x:v>
      </x:c>
      <x:c r="C45" s="90" t="n">
        <x:f>'10_Rakuten_Scenario'!E28</x:f>
        <x:v>214.15866784326488</x:v>
      </x:c>
      <x:c r="D45" s="90" t="n">
        <x:f>'10_Rakuten_Scenario'!G28</x:f>
        <x:v>26.549248208831752</x:v>
      </x:c>
      <x:c r="E45" s="90" t="n">
        <x:f>'10_Rakuten_Scenario'!I28</x:f>
        <x:v>477.88646775897155</x:v>
      </x:c>
      <x:c r="F45" s="18" t="str">
        <x:v>2025 national NISA account growth</x:v>
      </x:c>
      <x:c r="G45" s="18"/>
      <x:c r="H45" s="84"/>
      <x:c r="I45" s="84"/>
      <x:c r="J45" s="84"/>
      <x:c r="K45" s="84"/>
      <x:c r="L45" s="84"/>
      <x:c r="M45" s="84"/>
      <x:c r="N45" s="84"/>
    </x:row>
    <x:row r="46" ht="15" hidden="0" customHeight="1">
      <x:c r="A46" s="36" t="str">
        <x:f>'10_Rakuten_Scenario'!A31</x:f>
        <x:v>Base</x:v>
      </x:c>
      <x:c r="B46" s="40" t="n">
        <x:f>'10_Rakuten_Scenario'!C31</x:f>
        <x:v>18.207602573905405</x:v>
      </x:c>
      <x:c r="C46" s="90" t="n">
        <x:f>'10_Rakuten_Scenario'!E31</x:f>
        <x:v>251.0485884065186</x:v>
      </x:c>
      <x:c r="D46" s="90" t="n">
        <x:f>'10_Rakuten_Scenario'!G31</x:f>
        <x:v>34.9413068732108</x:v>
      </x:c>
      <x:c r="E46" s="90" t="n">
        <x:f>'10_Rakuten_Scenario'!I31</x:f>
        <x:v>628.9435237177944</x:v>
      </x:c>
      <x:c r="F46" s="18" t="str">
        <x:v>Rakuten 2025 actual account growth</x:v>
      </x:c>
      <x:c r="G46" s="18"/>
      <x:c r="H46" s="84"/>
      <x:c r="I46" s="84"/>
      <x:c r="J46" s="84"/>
      <x:c r="K46" s="84"/>
      <x:c r="L46" s="84"/>
      <x:c r="M46" s="84"/>
      <x:c r="N46" s="84"/>
    </x:row>
    <x:row r="47" ht="15" hidden="0" customHeight="1">
      <x:c r="A47" s="36" t="str">
        <x:f>'10_Rakuten_Scenario'!A34</x:f>
        <x:v>Bull</x:v>
      </x:c>
      <x:c r="B47" s="40" t="n">
        <x:f>'10_Rakuten_Scenario'!C34</x:f>
        <x:v>19.9048992675</x:v>
      </x:c>
      <x:c r="C47" s="90" t="n">
        <x:f>'10_Rakuten_Scenario'!E34</x:f>
        <x:v>312.0886323936342</x:v>
      </x:c>
      <x:c r="D47" s="90" t="n">
        <x:f>'10_Rakuten_Scenario'!G34</x:f>
        <x:v>48.85242479345505</x:v>
      </x:c>
      <x:c r="E47" s="90" t="n">
        <x:f>'10_Rakuten_Scenario'!I34</x:f>
        <x:v>879.3436462821909</x:v>
      </x:c>
      <x:c r="F47" s="18" t="str">
        <x:v>Rakuten 2026H1 observed YoY account growth</x:v>
      </x:c>
      <x:c r="G47" s="18"/>
      <x:c r="H47" s="84"/>
      <x:c r="I47" s="84"/>
      <x:c r="J47" s="84"/>
      <x:c r="K47" s="84"/>
      <x:c r="L47" s="84"/>
      <x:c r="M47" s="84"/>
      <x:c r="N47" s="84"/>
    </x:row>
    <x:row r="48"/>
    <x:row r="49"/>
    <x:row r="50" ht="15" hidden="0" customHeight="1">
      <x:c r="A50" s="22" t="str">
        <x:v>Final conclusion</x:v>
      </x:c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</x:row>
    <x:row r="51">
      <x:c r="A51" s="150" t="str">
        <x:v>Answer to the research question: New NISA was associated with a material and persistent increase in Japanese retail-investor participation. The launch-year change was especially large in purchase amounts and strongest proportionally among the youngest account cohort, while 2025 data show continued diffusion across working-age investors. For firms, the opportunity shifts competition away from transaction commissions alone toward scalable customer acquisition, recurring fund balances, custody/assets, cash and interest economics, FX/ancillary activity, advisory relationships and product manufacturing. Rakuten and SBI exhibit the clearest direct digital exposure in disclosed data; Nomura and Daiwa have meaningful recurring/advisory and product-manufacturing exposure. The project does not claim New NISA alone caused the full increase because statutory limits, equity markets, inflation and BOJ policy changed concurrently.</x:v>
      </x:c>
      <x:c r="B51" s="150"/>
      <x:c r="C51" s="150"/>
      <x:c r="D51" s="150"/>
      <x:c r="E51" s="150"/>
      <x:c r="F51" s="150"/>
      <x:c r="G51" s="150"/>
      <x:c r="H51" s="150"/>
      <x:c r="I51" s="150"/>
      <x:c r="J51" s="150"/>
      <x:c r="K51" s="150"/>
      <x:c r="L51" s="150"/>
      <x:c r="M51" s="150"/>
      <x:c r="N51" s="150"/>
    </x:row>
    <x:row r="52">
      <x:c r="A52" s="150"/>
      <x:c r="B52" s="150"/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  <x:c r="M52" s="150"/>
      <x:c r="N52" s="150"/>
    </x:row>
    <x:row r="53">
      <x:c r="A53" s="150"/>
      <x:c r="B53" s="150"/>
      <x:c r="C53" s="150"/>
      <x:c r="D53" s="150"/>
      <x:c r="E53" s="150"/>
      <x:c r="F53" s="150"/>
      <x:c r="G53" s="150"/>
      <x:c r="H53" s="150"/>
      <x:c r="I53" s="150"/>
      <x:c r="J53" s="150"/>
      <x:c r="K53" s="150"/>
      <x:c r="L53" s="150"/>
      <x:c r="M53" s="150"/>
      <x:c r="N53" s="150"/>
    </x:row>
    <x:row r="54">
      <x:c r="A54" s="150"/>
      <x:c r="B54" s="150"/>
      <x:c r="C54" s="150"/>
      <x:c r="D54" s="150"/>
      <x:c r="E54" s="150"/>
      <x:c r="F54" s="150"/>
      <x:c r="G54" s="150"/>
      <x:c r="H54" s="150"/>
      <x:c r="I54" s="150"/>
      <x:c r="J54" s="150"/>
      <x:c r="K54" s="150"/>
      <x:c r="L54" s="150"/>
      <x:c r="M54" s="150"/>
      <x:c r="N54" s="150"/>
    </x:row>
    <x:row r="55">
      <x:c r="A55" s="150"/>
      <x:c r="B55" s="150"/>
      <x:c r="C55" s="150"/>
      <x:c r="D55" s="150"/>
      <x:c r="E55" s="150"/>
      <x:c r="F55" s="150"/>
      <x:c r="G55" s="150"/>
      <x:c r="H55" s="150"/>
      <x:c r="I55" s="150"/>
      <x:c r="J55" s="150"/>
      <x:c r="K55" s="150"/>
      <x:c r="L55" s="150"/>
      <x:c r="M55" s="150"/>
      <x:c r="N55" s="150"/>
    </x:row>
    <x:row r="56">
      <x:c r="A56" s="150"/>
      <x:c r="B56" s="150"/>
      <x:c r="C56" s="150"/>
      <x:c r="D56" s="150"/>
      <x:c r="E56" s="150"/>
      <x:c r="F56" s="150"/>
      <x:c r="G56" s="150"/>
      <x:c r="H56" s="150"/>
      <x:c r="I56" s="150"/>
      <x:c r="J56" s="150"/>
      <x:c r="K56" s="150"/>
      <x:c r="L56" s="150"/>
      <x:c r="M56" s="150"/>
      <x:c r="N56" s="150"/>
    </x:row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N1"/>
    <x:mergeCell ref="A2:N2"/>
    <x:mergeCell ref="A4:N6"/>
    <x:mergeCell ref="A8:N8"/>
    <x:mergeCell ref="A9:N12"/>
    <x:mergeCell ref="A14:N14"/>
    <x:mergeCell ref="A15:C15"/>
    <x:mergeCell ref="A16:C17"/>
    <x:mergeCell ref="A18:C18"/>
    <x:mergeCell ref="D15:F15"/>
    <x:mergeCell ref="D16:F17"/>
    <x:mergeCell ref="D18:F18"/>
    <x:mergeCell ref="G15:I15"/>
    <x:mergeCell ref="G16:I17"/>
    <x:mergeCell ref="G18:I18"/>
    <x:mergeCell ref="J15:L15"/>
    <x:mergeCell ref="J16:L17"/>
    <x:mergeCell ref="J18:L18"/>
    <x:mergeCell ref="A21:N21"/>
    <x:mergeCell ref="A22:D22"/>
    <x:mergeCell ref="A23:D24"/>
    <x:mergeCell ref="A25:D25"/>
    <x:mergeCell ref="E22:H22"/>
    <x:mergeCell ref="E23:H24"/>
    <x:mergeCell ref="E25:H25"/>
    <x:mergeCell ref="I22:L22"/>
    <x:mergeCell ref="I23:L24"/>
    <x:mergeCell ref="I25:L25"/>
    <x:mergeCell ref="A28:N28"/>
    <x:mergeCell ref="A35:N35"/>
    <x:mergeCell ref="A36:G40"/>
    <x:mergeCell ref="H36:N40"/>
    <x:mergeCell ref="A43:N43"/>
    <x:mergeCell ref="H44:N47"/>
    <x:mergeCell ref="A50:N50"/>
    <x:mergeCell ref="A51:N56"/>
    <x:mergeCell ref="A29:B29"/>
    <x:mergeCell ref="C29:D29"/>
    <x:mergeCell ref="E29:I29"/>
    <x:mergeCell ref="J29:N29"/>
    <x:mergeCell ref="A30:B30"/>
    <x:mergeCell ref="C30:D30"/>
    <x:mergeCell ref="E30:I30"/>
    <x:mergeCell ref="J30:N30"/>
    <x:mergeCell ref="A31:B31"/>
    <x:mergeCell ref="C31:D31"/>
    <x:mergeCell ref="E31:I31"/>
    <x:mergeCell ref="J31:N31"/>
    <x:mergeCell ref="A32:B32"/>
    <x:mergeCell ref="C32:D32"/>
    <x:mergeCell ref="E32:I32"/>
    <x:mergeCell ref="J32:N32"/>
    <x:mergeCell ref="F44:G44"/>
    <x:mergeCell ref="F45:G45"/>
    <x:mergeCell ref="F46:G46"/>
    <x:mergeCell ref="F47:G47"/>
  </x:mergeCells>
  <x:pageMargins left="0.7" right="0.7" top="0.75" bottom="0.75" header="0.3" footer="0.3"/>
  <x:drawing xmlns:r="http://schemas.openxmlformats.org/officeDocument/2006/relationships" r:id="R1683226e270341eb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1" hidden="0" customWidth="1"/>
    <x:col min="4" max="4" width="22" hidden="0" customWidth="1"/>
    <x:col min="5" max="5" width="62" hidden="0" customWidth="1"/>
    <x:col min="6" max="6" width="36" hidden="0" customWidth="1"/>
    <x:col min="7" max="7" width="19" hidden="0" customWidth="1"/>
    <x:col min="8" max="8" width="55" hidden="0" customWidth="1"/>
  </x:cols>
  <x:sheetData>
    <x:row r="1" ht="19.200000762939453" hidden="0" customHeight="1">
      <x:c r="A1" s="4" t="str">
        <x:v>01_Source_Log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10" t="str">
        <x:v>All sources used in the final project. Official/primary sources are prioritized; methodological caveats are preserved.</x:v>
      </x:c>
      <x:c r="B2" s="10"/>
      <x:c r="C2" s="10"/>
      <x:c r="D2" s="10"/>
      <x:c r="E2" s="10"/>
      <x:c r="F2" s="10"/>
      <x:c r="G2" s="10"/>
      <x:c r="H2" s="10"/>
    </x:row>
    <x:row r="3"/>
    <x:row r="4" ht="15" hidden="0" customHeight="1">
      <x:c r="A4" s="16" t="str">
        <x:v>ID</x:v>
      </x:c>
      <x:c r="B4" s="16" t="str">
        <x:v>Institution</x:v>
      </x:c>
      <x:c r="C4" s="16" t="str">
        <x:v>Document / Dataset</x:v>
      </x:c>
      <x:c r="D4" s="16" t="str">
        <x:v>Type</x:v>
      </x:c>
      <x:c r="E4" s="16" t="str">
        <x:v>URL / File</x:v>
      </x:c>
      <x:c r="F4" s="16" t="str">
        <x:v>Used For</x:v>
      </x:c>
      <x:c r="G4" s="16" t="str">
        <x:v>Vintage</x:v>
      </x:c>
      <x:c r="H4" s="16" t="str">
        <x:v>Key Caveat / Definition</x:v>
      </x:c>
    </x:row>
    <x:row r="5" ht="15" hidden="0" customHeight="1">
      <x:c r="A5" s="18" t="str">
        <x:v>P01</x:v>
      </x:c>
      <x:c r="B5" s="18" t="str">
        <x:v>Kai Batchelor</x:v>
      </x:c>
      <x:c r="C5" s="18" t="str">
        <x:v>Project proposal (internal reference)</x:v>
      </x:c>
      <x:c r="D5" s="18" t="str">
        <x:v>User-provided basis</x:v>
      </x:c>
      <x:c r="E5" s="18" t="str">
        <x:v>No public URL</x:v>
      </x:c>
      <x:c r="F5" s="18" t="str">
        <x:v>Research question, hypotheses, methodology</x:v>
      </x:c>
      <x:c r="G5" s="18" t="str">
        <x:v>June-August 2026</x:v>
      </x:c>
      <x:c r="H5" s="18" t="str">
        <x:v>Project framing only; not an empirical source.</x:v>
      </x:c>
    </x:row>
    <x:row r="6" ht="26.399999618530273" hidden="0" customHeight="1">
      <x:c r="A6" s="18" t="str">
        <x:v>S01</x:v>
      </x:c>
      <x:c r="B6" s="18" t="str">
        <x:v>Financial Services Agency (Japan)</x:v>
      </x:c>
      <x:c r="C6" s="18" t="str">
        <x:v>New NISA guide / rules</x:v>
      </x:c>
      <x:c r="D6" s="18" t="str">
        <x:v>Official primary</x:v>
      </x:c>
      <x:c r="E6" s="18" t="str">
        <x:v>https://www.fsa.go.jp/policy/nisa2/know/index.html</x:v>
      </x:c>
      <x:c r="F6" s="18" t="str">
        <x:v>2024 reform design</x:v>
      </x:c>
      <x:c r="G6" s="18" t="str">
        <x:v>Current</x:v>
      </x:c>
      <x:c r="H6" s="18" t="str">
        <x:v>Indefinite tax-free period; ¥1.2m accumulation + ¥2.4m growth annual limits; ¥18m lifetime book-value cap.</x:v>
      </x:c>
    </x:row>
    <x:row r="7" ht="26.399999618530273" hidden="0" customHeight="1">
      <x:c r="A7" s="18" t="str">
        <x:v>S02</x:v>
      </x:c>
      <x:c r="B7" s="18" t="str">
        <x:v>Financial Services Agency (Japan)</x:v>
      </x:c>
      <x:c r="C7" s="18" t="str">
        <x:v>NISA utilization survey - 2025 year-end final</x:v>
      </x:c>
      <x:c r="D7" s="18" t="str">
        <x:v>Official primary</x:v>
      </x:c>
      <x:c r="E7" s="18" t="str">
        <x:v>https://www.fsa.go.jp/policy/nisa/20260703.html</x:v>
      </x:c>
      <x:c r="F7" s="18" t="str">
        <x:v>Final 2025 national accounts/purchases</x:v>
      </x:c>
      <x:c r="G7" s="18" t="str">
        <x:v>2026-07-03</x:v>
      </x:c>
      <x:c r="H7" s="18" t="str">
        <x:v>Supersedes earlier preliminary 2025 figures.</x:v>
      </x:c>
    </x:row>
    <x:row r="8" ht="26.399999618530273" hidden="0" customHeight="1">
      <x:c r="A8" s="18" t="str">
        <x:v>S03</x:v>
      </x:c>
      <x:c r="B8" s="18" t="str">
        <x:v>Japan Securities Dealers Association</x:v>
      </x:c>
      <x:c r="C8" s="18" t="str">
        <x:v>NISA statistics - 2025 year-end PDF and historical Excel series</x:v>
      </x:c>
      <x:c r="D8" s="18" t="str">
        <x:v>Official industry primary</x:v>
      </x:c>
      <x:c r="E8" s="18" t="str">
        <x:v>https://www.jsda.or.jp/shiryoshitsu/toukei/nisajoukyou.html</x:v>
      </x:c>
      <x:c r="F8" s="18" t="str">
        <x:v>2025 results; exact historical accounts and purchases</x:v>
      </x:c>
      <x:c r="G8" s="18" t="str">
        <x:v>July 2026</x:v>
      </x:c>
      <x:c r="H8" s="18" t="str">
        <x:v>Use the linked Excel series for exact historical values; PDF charts are rounded.</x:v>
      </x:c>
    </x:row>
    <x:row r="9" ht="26.399999618530273" hidden="0" customHeight="1">
      <x:c r="A9" s="18" t="str">
        <x:v>S04</x:v>
      </x:c>
      <x:c r="B9" s="18" t="str">
        <x:v>Japan Securities Dealers Association</x:v>
      </x:c>
      <x:c r="C9" s="18" t="str">
        <x:v>New NISA White Paper 2025</x:v>
      </x:c>
      <x:c r="D9" s="18" t="str">
        <x:v>Official industry primary</x:v>
      </x:c>
      <x:c r="E9" s="18" t="str">
        <x:v>https://www.jsda.or.jp/shiryoshitsu/toukei/shin-nisa-hakusyo/shin_nisa_hakusyo_2025.pdf</x:v>
      </x:c>
      <x:c r="F9" s="18" t="str">
        <x:v>2025 age penetration/accounts, product mix, investor behavior</x:v>
      </x:c>
      <x:c r="G9" s="18" t="str">
        <x:v>July 2026</x:v>
      </x:c>
      <x:c r="H9" s="18" t="str">
        <x:v>Includes national statistics and survey-based context.</x:v>
      </x:c>
    </x:row>
    <x:row r="10" ht="26.399999618530273" hidden="0" customHeight="1">
      <x:c r="A10" s="18" t="str">
        <x:v>S05</x:v>
      </x:c>
      <x:c r="B10" s="18" t="str">
        <x:v>Financial Services Agency (Japan)</x:v>
      </x:c>
      <x:c r="C10" s="18" t="str">
        <x:v>Evaluation of NISA expansion and permanence</x:v>
      </x:c>
      <x:c r="D10" s="18" t="str">
        <x:v>Official primary</x:v>
      </x:c>
      <x:c r="E10" s="18" t="str">
        <x:v>https://www.fsa.go.jp/singi/nisa_kaigi/siryou/20250403/03.pdf</x:v>
      </x:c>
      <x:c r="F10" s="18" t="str">
        <x:v>Policy interpretation; preliminary age comparison through September 2024</x:v>
      </x:c>
      <x:c r="G10" s="18" t="str">
        <x:v>2025-04-03 (age data through 2024-09)</x:v>
      </x:c>
      <x:c r="H10" s="18" t="str">
        <x:v>Do not use its age slide for final 2024 year-end counts; use S06, S07 and S34.</x:v>
      </x:c>
    </x:row>
    <x:row r="11" ht="26.399999618530273" hidden="0" customHeight="1">
      <x:c r="A11" s="18" t="str">
        <x:v>S06</x:v>
      </x:c>
      <x:c r="B11" s="18" t="str">
        <x:v>Financial Services Agency (Japan)</x:v>
      </x:c>
      <x:c r="C11" s="18" t="str">
        <x:v>NISA utilization survey - 2024 year-end final</x:v>
      </x:c>
      <x:c r="D11" s="18" t="str">
        <x:v>Official primary</x:v>
      </x:c>
      <x:c r="E11" s="18" t="str">
        <x:v>https://www.fsa.go.jp/policy/nisa/20250617.html</x:v>
      </x:c>
      <x:c r="F11" s="18" t="str">
        <x:v>First full New NISA year</x:v>
      </x:c>
      <x:c r="G11" s="18" t="str">
        <x:v>2024 YE final</x:v>
      </x:c>
      <x:c r="H11" s="18" t="str">
        <x:v>Use final/corrected values.</x:v>
      </x:c>
    </x:row>
    <x:row r="12" ht="26.399999618530273" hidden="0" customHeight="1">
      <x:c r="A12" s="18" t="str">
        <x:v>S07</x:v>
      </x:c>
      <x:c r="B12" s="18" t="str">
        <x:v>Financial Services Agency (Japan)</x:v>
      </x:c>
      <x:c r="C12" s="18" t="str">
        <x:v>NISA utilization survey - 2023 year-end final</x:v>
      </x:c>
      <x:c r="D12" s="18" t="str">
        <x:v>Official primary</x:v>
      </x:c>
      <x:c r="E12" s="18" t="str">
        <x:v>https://www.fsa.go.jp/policy/nisa/20240628.html</x:v>
      </x:c>
      <x:c r="F12" s="18" t="str">
        <x:v>Final pre-reform baseline</x:v>
      </x:c>
      <x:c r="G12" s="18" t="str">
        <x:v>2023 YE final</x:v>
      </x:c>
      <x:c r="H12" s="18" t="str">
        <x:v>Old General/Tsumitate NISA differs from New NISA.</x:v>
      </x:c>
    </x:row>
    <x:row r="13" ht="15" hidden="0" customHeight="1">
      <x:c r="A13" s="18" t="str">
        <x:v>S08</x:v>
      </x:c>
      <x:c r="B13" s="18" t="str">
        <x:v>Statistics Bureau of Japan</x:v>
      </x:c>
      <x:c r="C13" s="18" t="str">
        <x:v>Population by Age Group - Table 2-6, Japan Statistical Yearbook 2025</x:v>
      </x:c>
      <x:c r="D13" s="18" t="str">
        <x:v>Official primary</x:v>
      </x:c>
      <x:c r="E13" s="18" t="str">
        <x:v>https://www.stat.go.jp/data/nenkan/74nenkan/zuhyou/y740206000.xlsx</x:v>
      </x:c>
      <x:c r="F13" s="18" t="str">
        <x:v>2023 age population denominators</x:v>
      </x:c>
      <x:c r="G13" s="18" t="str">
        <x:v>2023</x:v>
      </x:c>
      <x:c r="H13" s="18" t="str">
        <x:v>Workbook values are decade-group totals from Table 2-6.</x:v>
      </x:c>
    </x:row>
    <x:row r="14" ht="26.399999618530273" hidden="0" customHeight="1">
      <x:c r="A14" s="18" t="str">
        <x:v>S09</x:v>
      </x:c>
      <x:c r="B14" s="18" t="str">
        <x:v>Bank of Japan</x:v>
      </x:c>
      <x:c r="C14" s="18" t="str">
        <x:v>Households Financial Assets - main time-series statistics</x:v>
      </x:c>
      <x:c r="D14" s="18" t="str">
        <x:v>Official primary</x:v>
      </x:c>
      <x:c r="E14" s="18" t="str">
        <x:v>https://www.stat-search.boj.or.jp/ssi/mtshtml/ff_q_1_en.html</x:v>
      </x:c>
      <x:c r="F14" s="18" t="str">
        <x:v>Quarterly household financial assets</x:v>
      </x:c>
      <x:c r="G14" s="18" t="str">
        <x:v>Updated 2026-08-24</x:v>
      </x:c>
      <x:c r="H14" s="18" t="str">
        <x:v>Historical Flow of Funds can be revised.</x:v>
      </x:c>
    </x:row>
    <x:row r="15" ht="26.399999618530273" hidden="0" customHeight="1">
      <x:c r="A15" s="18" t="str">
        <x:v>S10</x:v>
      </x:c>
      <x:c r="B15" s="18" t="str">
        <x:v>Financial Services Agency (Japan)</x:v>
      </x:c>
      <x:c r="C15" s="18" t="str">
        <x:v>Household Financial Assets - international comparison / end-2025 context</x:v>
      </x:c>
      <x:c r="D15" s="18" t="str">
        <x:v>Official primary</x:v>
      </x:c>
      <x:c r="E15" s="18" t="str">
        <x:v>https://www.fsa.go.jp/common/conference/danwa/20260413_2.pdf</x:v>
      </x:c>
      <x:c r="F15" s="18" t="str">
        <x:v>End-Sep 2025 household asset composition and end-Dec 2025 cash/total context</x:v>
      </x:c>
      <x:c r="G15" s="18" t="str">
        <x:v>2026-04-13</x:v>
      </x:c>
      <x:c r="H15" s="18" t="str">
        <x:v>Composition is end-Sep 2025: cash/deposits 49%, stocks 15%, investment trusts 7%, pensions/insurance 25%, debt securities 2%, others 2%. FSA compiles the Japan data from BOJ Flow of Funds.</x:v>
      </x:c>
    </x:row>
    <x:row r="16" ht="15" hidden="0" customHeight="1">
      <x:c r="A16" s="18" t="str">
        <x:v>S11</x:v>
      </x:c>
      <x:c r="B16" s="18" t="str">
        <x:v>Bank of Japan</x:v>
      </x:c>
      <x:c r="C16" s="18" t="str">
        <x:v>Household asset-allocation snapshot - end-Dec 2023</x:v>
      </x:c>
      <x:c r="D16" s="18" t="str">
        <x:v>Official primary</x:v>
      </x:c>
      <x:c r="E16" s="18" t="str">
        <x:v>https://www.boj.or.jp/en/about/press/koen_2024/data/ko240614a2.pdf</x:v>
      </x:c>
      <x:c r="F16" s="18" t="str">
        <x:v>Pre-reform household composition</x:v>
      </x:c>
      <x:c r="G16" s="18" t="str">
        <x:v>End-Dec 2023</x:v>
      </x:c>
      <x:c r="H16" s="18" t="str">
        <x:v>Stock levels include valuation/reconciliation effects.</x:v>
      </x:c>
    </x:row>
    <x:row r="17" ht="15" hidden="0" customHeight="1">
      <x:c r="A17" s="18" t="str">
        <x:v>S12</x:v>
      </x:c>
      <x:c r="B17" s="18" t="str">
        <x:v>Bank of Japan</x:v>
      </x:c>
      <x:c r="C17" s="18" t="str">
        <x:v>Household asset-allocation snapshot - end-Mar 2024</x:v>
      </x:c>
      <x:c r="D17" s="18" t="str">
        <x:v>Official primary</x:v>
      </x:c>
      <x:c r="E17" s="18" t="str">
        <x:v>https://www.boj.or.jp/en/about/press/koen_2024/data/ko241212a1.pdf</x:v>
      </x:c>
      <x:c r="F17" s="18" t="str">
        <x:v>Early post-reform composition</x:v>
      </x:c>
      <x:c r="G17" s="18" t="str">
        <x:v>End-Mar 2024</x:v>
      </x:c>
      <x:c r="H17" s="18" t="str">
        <x:v>Only one quarter after reform.</x:v>
      </x:c>
    </x:row>
    <x:row r="18" ht="26.399999618530273" hidden="0" customHeight="1">
      <x:c r="A18" s="18" t="str">
        <x:v>S13</x:v>
      </x:c>
      <x:c r="B18" s="18" t="str">
        <x:v>Financial Services Agency (Japan)</x:v>
      </x:c>
      <x:c r="C18" s="18" t="str">
        <x:v>Composition of Household Assets</x:v>
      </x:c>
      <x:c r="D18" s="18" t="str">
        <x:v>Official primary</x:v>
      </x:c>
      <x:c r="E18" s="18" t="str">
        <x:v>https://www.fsa.go.jp/common/conference/danwa/20250521.pdf</x:v>
      </x:c>
      <x:c r="F18" s="18" t="str">
        <x:v>2022-2024 broad market-linked share</x:v>
      </x:c>
      <x:c r="G18" s="18" t="str">
        <x:v>2025-05-21</x:v>
      </x:c>
      <x:c r="H18" s="18" t="str">
        <x:v>Proxy includes stocks, funds, bonds, foreign securities and other equity.</x:v>
      </x:c>
    </x:row>
    <x:row r="19" ht="26.399999618530273" hidden="0" customHeight="1">
      <x:c r="A19" s="18" t="str">
        <x:v>S14</x:v>
      </x:c>
      <x:c r="B19" s="18" t="str">
        <x:v>Statistics Bureau of Japan</x:v>
      </x:c>
      <x:c r="C19" s="18" t="str">
        <x:v>2023 CPI annual report</x:v>
      </x:c>
      <x:c r="D19" s="18" t="str">
        <x:v>Official primary</x:v>
      </x:c>
      <x:c r="E19" s="18" t="str">
        <x:v>https://www.e-stat.go.jp/en/stat-search/file-download?fileKind=2&amp;statInfId=000040165559</x:v>
      </x:c>
      <x:c r="F19" s="18" t="str">
        <x:v>2023 inflation</x:v>
      </x:c>
      <x:c r="G19" s="18" t="str">
        <x:v>2023</x:v>
      </x:c>
      <x:c r="H19" s="18" t="str">
        <x:v>All-items CPI.</x:v>
      </x:c>
    </x:row>
    <x:row r="20" ht="26.399999618530273" hidden="0" customHeight="1">
      <x:c r="A20" s="18" t="str">
        <x:v>S15</x:v>
      </x:c>
      <x:c r="B20" s="18" t="str">
        <x:v>Statistics Bureau of Japan</x:v>
      </x:c>
      <x:c r="C20" s="18" t="str">
        <x:v>2024 CPI annual report</x:v>
      </x:c>
      <x:c r="D20" s="18" t="str">
        <x:v>Official primary</x:v>
      </x:c>
      <x:c r="E20" s="18" t="str">
        <x:v>https://www.e-stat.go.jp/en/stat-search/file-download?fileKind=2&amp;statInfId=000040263552</x:v>
      </x:c>
      <x:c r="F20" s="18" t="str">
        <x:v>2024 inflation</x:v>
      </x:c>
      <x:c r="G20" s="18" t="str">
        <x:v>2024</x:v>
      </x:c>
      <x:c r="H20" s="18" t="str">
        <x:v>All-items CPI.</x:v>
      </x:c>
    </x:row>
    <x:row r="21" ht="15" hidden="0" customHeight="1">
      <x:c r="A21" s="18" t="str">
        <x:v>S16</x:v>
      </x:c>
      <x:c r="B21" s="18" t="str">
        <x:v>Statistics Bureau of Japan</x:v>
      </x:c>
      <x:c r="C21" s="18" t="str">
        <x:v>2025 CPI annual release</x:v>
      </x:c>
      <x:c r="D21" s="18" t="str">
        <x:v>Official primary</x:v>
      </x:c>
      <x:c r="E21" s="18" t="str">
        <x:v>https://www.stat.go.jp/english/data/cpi/158c.html</x:v>
      </x:c>
      <x:c r="F21" s="18" t="str">
        <x:v>2025 inflation</x:v>
      </x:c>
      <x:c r="G21" s="18" t="str">
        <x:v>2025</x:v>
      </x:c>
      <x:c r="H21" s="18" t="str">
        <x:v>All-items CPI.</x:v>
      </x:c>
    </x:row>
    <x:row r="22" ht="15" hidden="0" customHeight="1">
      <x:c r="A22" s="18" t="str">
        <x:v>S17</x:v>
      </x:c>
      <x:c r="B22" s="18" t="str">
        <x:v>Kabutan</x:v>
      </x:c>
      <x:c r="C22" s="18" t="str">
        <x:v>TOPIX Historical Price - yearly</x:v>
      </x:c>
      <x:c r="D22" s="18" t="str">
        <x:v>Market-data secondary</x:v>
      </x:c>
      <x:c r="E22" s="18" t="str">
        <x:v>https://en.kabutan.com/jp/indices/%5ETOPIX/historical_prices/yearly</x:v>
      </x:c>
      <x:c r="F22" s="18" t="str">
        <x:v>2023-2025 TOPIX levels/returns</x:v>
      </x:c>
      <x:c r="G22" s="18" t="str">
        <x:v>2023-2025</x:v>
      </x:c>
      <x:c r="H22" s="18" t="str">
        <x:v>2025 level/return cross-checked with Bloomberg/Reuters.</x:v>
      </x:c>
    </x:row>
    <x:row r="23" ht="15" hidden="0" customHeight="1">
      <x:c r="A23" s="18" t="str">
        <x:v>S18</x:v>
      </x:c>
      <x:c r="B23" s="18" t="str">
        <x:v>Japan Exchange Group</x:v>
      </x:c>
      <x:c r="C23" s="18" t="str">
        <x:v>TOPIX overview</x:v>
      </x:c>
      <x:c r="D23" s="18" t="str">
        <x:v>Official reference</x:v>
      </x:c>
      <x:c r="E23" s="18" t="str">
        <x:v>https://www.jpx.co.jp/english/markets/indices/topix/index.html</x:v>
      </x:c>
      <x:c r="F23" s="18" t="str">
        <x:v>Index definition</x:v>
      </x:c>
      <x:c r="G23" s="18" t="str">
        <x:v>Current</x:v>
      </x:c>
      <x:c r="H23" s="18" t="str">
        <x:v>Definition only.</x:v>
      </x:c>
    </x:row>
    <x:row r="24" ht="15" hidden="0" customHeight="1">
      <x:c r="A24" s="18" t="str">
        <x:v>S19</x:v>
      </x:c>
      <x:c r="B24" s="18" t="str">
        <x:v>Bank of Japan</x:v>
      </x:c>
      <x:c r="C24" s="18" t="str">
        <x:v>Monetary Policy Meeting - March 2024</x:v>
      </x:c>
      <x:c r="D24" s="18" t="str">
        <x:v>Official primary</x:v>
      </x:c>
      <x:c r="E24" s="18" t="str">
        <x:v>https://www.boj.or.jp/en/mopo/mpmsche_minu/minu_2024/g240319.htm</x:v>
      </x:c>
      <x:c r="F24" s="18" t="str">
        <x:v>Policy regime shift</x:v>
      </x:c>
      <x:c r="G24" s="18" t="str">
        <x:v>2024-03-19</x:v>
      </x:c>
      <x:c r="H24" s="18" t="str">
        <x:v>Context/confounder.</x:v>
      </x:c>
    </x:row>
    <x:row r="25" ht="15" hidden="0" customHeight="1">
      <x:c r="A25" s="18" t="str">
        <x:v>S20</x:v>
      </x:c>
      <x:c r="B25" s="18" t="str">
        <x:v>Bank of Japan</x:v>
      </x:c>
      <x:c r="C25" s="18" t="str">
        <x:v>Statement on Monetary Policy - July 2024</x:v>
      </x:c>
      <x:c r="D25" s="18" t="str">
        <x:v>Official primary</x:v>
      </x:c>
      <x:c r="E25" s="18" t="str">
        <x:v>https://www.boj.or.jp/en/mopo/mpmdeci/state_2024/k240731a.htm</x:v>
      </x:c>
      <x:c r="F25" s="18" t="str">
        <x:v>Policy rate ~0.25%</x:v>
      </x:c>
      <x:c r="G25" s="18" t="str">
        <x:v>2024-07-31</x:v>
      </x:c>
      <x:c r="H25" s="18" t="str">
        <x:v>Context and broker interest economics.</x:v>
      </x:c>
    </x:row>
    <x:row r="26" ht="15" hidden="0" customHeight="1">
      <x:c r="A26" s="18" t="str">
        <x:v>S21</x:v>
      </x:c>
      <x:c r="B26" s="18" t="str">
        <x:v>Bank of Japan</x:v>
      </x:c>
      <x:c r="C26" s="18" t="str">
        <x:v>Statement on Monetary Policy - January 2025</x:v>
      </x:c>
      <x:c r="D26" s="18" t="str">
        <x:v>Official primary</x:v>
      </x:c>
      <x:c r="E26" s="18" t="str">
        <x:v>https://www.boj.or.jp/en/mopo/mpmdeci/state_2025/k250124a.htm</x:v>
      </x:c>
      <x:c r="F26" s="18" t="str">
        <x:v>Policy rate ~0.5%</x:v>
      </x:c>
      <x:c r="G26" s="18" t="str">
        <x:v>2025-01-24</x:v>
      </x:c>
      <x:c r="H26" s="18" t="str">
        <x:v>Context.</x:v>
      </x:c>
    </x:row>
    <x:row r="27" ht="26.399999618530273" hidden="0" customHeight="1">
      <x:c r="A27" s="18" t="str">
        <x:v>S22</x:v>
      </x:c>
      <x:c r="B27" s="18" t="str">
        <x:v>Rakuten Group / Rakuten Bank</x:v>
      </x:c>
      <x:c r="C27" s="18" t="str">
        <x:v>Definitive agreement on FinTech reorganization</x:v>
      </x:c>
      <x:c r="D27" s="18" t="str">
        <x:v>Company primary</x:v>
      </x:c>
      <x:c r="E27" s="18" t="str">
        <x:v>https://global.rakuten.com/corp/news/press/2026/0520_11.html</x:v>
      </x:c>
      <x:c r="F27" s="18" t="str">
        <x:v>Rakuten Securities 2023-2025 exact financials; valuation PER range</x:v>
      </x:c>
      <x:c r="G27" s="18" t="str">
        <x:v>2026-05-20</x:v>
      </x:c>
      <x:c r="H27" s="18" t="str">
        <x:v>Rakuten Securities Inc. financials are J-GAAP; PER range relates to Rakuten Securities HD.</x:v>
      </x:c>
    </x:row>
    <x:row r="28" ht="15" hidden="0" customHeight="1">
      <x:c r="A28" s="18" t="str">
        <x:v>S23</x:v>
      </x:c>
      <x:c r="B28" s="18" t="str">
        <x:v>Rakuten Group</x:v>
      </x:c>
      <x:c r="C28" s="18" t="str">
        <x:v>FY2025 and Q4 FY2025 Financial Results Presentation</x:v>
      </x:c>
      <x:c r="D28" s="18" t="str">
        <x:v>Company primary</x:v>
      </x:c>
      <x:c r="E28" s="18" t="str">
        <x:v>https://global.rakuten.com/corp/investors/assets/doc/documents/25Q4MAINPPT_E.pdf</x:v>
      </x:c>
      <x:c r="F28" s="18" t="str">
        <x:v>Rakuten Securities 2023-2025 general accounts, NISA accounts, deposited assets and operating context</x:v>
      </x:c>
      <x:c r="G28" s="18" t="str">
        <x:v>FY2025</x:v>
      </x:c>
      <x:c r="H28" s="18" t="str">
        <x:v>General/NISA account and deposited-asset definitions are company-defined; financial statement amounts are separately sourced to S22.</x:v>
      </x:c>
    </x:row>
    <x:row r="29" ht="26.399999618530273" hidden="0" customHeight="1">
      <x:c r="A29" s="18" t="str">
        <x:v>S24</x:v>
      </x:c>
      <x:c r="B29" s="18" t="str">
        <x:v>Rakuten Group</x:v>
      </x:c>
      <x:c r="C29" s="18" t="str">
        <x:v>Q2 FY2026 results highlights</x:v>
      </x:c>
      <x:c r="D29" s="18" t="str">
        <x:v>Company primary</x:v>
      </x:c>
      <x:c r="E29" s="18" t="str">
        <x:v>https://global.rakuten.com/corp/news/press/2026/0810_01.html</x:v>
      </x:c>
      <x:c r="F29" s="18" t="str">
        <x:v>2026H1 account/NISA growth and monetization context</x:v>
      </x:c>
      <x:c r="G29" s="18" t="str">
        <x:v>2026-08-10</x:v>
      </x:c>
      <x:c r="H29" s="18" t="str">
        <x:v>Interim growth is scenario calibration evidence, not guidance.</x:v>
      </x:c>
    </x:row>
    <x:row r="30" ht="26.399999618530273" hidden="0" customHeight="1">
      <x:c r="A30" s="18" t="str">
        <x:v>S25</x:v>
      </x:c>
      <x:c r="B30" s="18" t="str">
        <x:v>SBI Securities / SBI Holdings</x:v>
      </x:c>
      <x:c r="C30" s="18" t="str">
        <x:v>Investment-trust custody surpassed ¥15tn</x:v>
      </x:c>
      <x:c r="D30" s="18" t="str">
        <x:v>Company primary</x:v>
      </x:c>
      <x:c r="E30" s="18" t="str">
        <x:v>https://www.sbigroup.co.jp/news/2024/0719_14801.html</x:v>
      </x:c>
      <x:c r="F30" s="18" t="str">
        <x:v>SBI fund custody, NISA sales and recurring settings</x:v>
      </x:c>
      <x:c r="G30" s="18" t="str">
        <x:v>2024-07-19</x:v>
      </x:c>
      <x:c r="H30" s="18" t="str">
        <x:v>Company-reported.</x:v>
      </x:c>
    </x:row>
    <x:row r="31" ht="15" hidden="0" customHeight="1">
      <x:c r="A31" s="18" t="str">
        <x:v>S26</x:v>
      </x:c>
      <x:c r="B31" s="18" t="str">
        <x:v>SBI Securities / SBI Holdings</x:v>
      </x:c>
      <x:c r="C31" s="18" t="str">
        <x:v>NISA accounts surpassed 5m</x:v>
      </x:c>
      <x:c r="D31" s="18" t="str">
        <x:v>Company primary</x:v>
      </x:c>
      <x:c r="E31" s="18" t="str">
        <x:v>https://www.sbigroup.co.jp/news/2024/0614_14717.html</x:v>
      </x:c>
      <x:c r="F31" s="18" t="str">
        <x:v>SBI NISA account scale</x:v>
      </x:c>
      <x:c r="G31" s="18" t="str">
        <x:v>2024-06-14</x:v>
      </x:c>
      <x:c r="H31" s="18" t="str">
        <x:v>Milestone; Junior NISA excluded.</x:v>
      </x:c>
    </x:row>
    <x:row r="32" ht="26.399999618530273" hidden="0" customHeight="1">
      <x:c r="A32" s="18" t="str">
        <x:v>S27</x:v>
      </x:c>
      <x:c r="B32" s="18" t="str">
        <x:v>SBI Holdings</x:v>
      </x:c>
      <x:c r="C32" s="18" t="str">
        <x:v>9M FY2024 results presentation</x:v>
      </x:c>
      <x:c r="D32" s="18" t="str">
        <x:v>Company primary</x:v>
      </x:c>
      <x:c r="E32" s="18" t="str">
        <x:v>https://www.sbigroup.co.jp/english/investors/disclosure/presentation/pdf/250207presentations.pdf</x:v>
      </x:c>
      <x:c r="F32" s="18" t="str">
        <x:v>Dec-2024 group securities/NISA counts</x:v>
      </x:c>
      <x:c r="G32" s="18" t="str">
        <x:v>9M FY2024</x:v>
      </x:c>
      <x:c r="H32" s="18" t="str">
        <x:v>Group perimeter differs from Rakuten.</x:v>
      </x:c>
    </x:row>
    <x:row r="33" ht="15" hidden="0" customHeight="1">
      <x:c r="A33" s="18" t="str">
        <x:v>S28</x:v>
      </x:c>
      <x:c r="B33" s="18" t="str">
        <x:v>SBI Securities / SBI Holdings</x:v>
      </x:c>
      <x:c r="C33" s="18" t="str">
        <x:v>Investment-trust custody surpassed ¥30tn</x:v>
      </x:c>
      <x:c r="D33" s="18" t="str">
        <x:v>Company primary</x:v>
      </x:c>
      <x:c r="E33" s="18" t="str">
        <x:v>https://www.sbigroup.co.jp/news/pr/2026/0612_16398.html</x:v>
      </x:c>
      <x:c r="F33" s="18" t="str">
        <x:v>Continued recurring-investment/AUM growth</x:v>
      </x:c>
      <x:c r="G33" s="18" t="str">
        <x:v>2026-06-12</x:v>
      </x:c>
      <x:c r="H33" s="18" t="str">
        <x:v>Post-core-period context.</x:v>
      </x:c>
    </x:row>
    <x:row r="34" ht="26.399999618530273" hidden="0" customHeight="1">
      <x:c r="A34" s="18" t="str">
        <x:v>S29</x:v>
      </x:c>
      <x:c r="B34" s="18" t="str">
        <x:v>Nomura Holdings</x:v>
      </x:c>
      <x:c r="C34" s="18" t="str">
        <x:v>FY2024/25 full-year results presentation</x:v>
      </x:c>
      <x:c r="D34" s="18" t="str">
        <x:v>Company primary</x:v>
      </x:c>
      <x:c r="E34" s="18" t="str">
        <x:v>https://www.nomuraholdings.com/en/investor/download/2025/main/0/teaserItems1/011111112/tableContents/07/multiFileUpload60/link/2025_full_prem.pdf</x:v>
      </x:c>
      <x:c r="F34" s="18" t="str">
        <x:v>Recurring assets/inflows and wealth metrics</x:v>
      </x:c>
      <x:c r="G34" s="18" t="str">
        <x:v>FY2024/25</x:v>
      </x:c>
      <x:c r="H34" s="18" t="str">
        <x:v>NISA definition changed in 2024.</x:v>
      </x:c>
    </x:row>
    <x:row r="35" ht="26.399999618530273" hidden="0" customHeight="1">
      <x:c r="A35" s="18" t="str">
        <x:v>S30</x:v>
      </x:c>
      <x:c r="B35" s="18" t="str">
        <x:v>Nomura Holdings</x:v>
      </x:c>
      <x:c r="C35" s="18" t="str">
        <x:v>FY2024/25 Form 20-F (filed June 23, 2025)</x:v>
      </x:c>
      <x:c r="D35" s="18" t="str">
        <x:v>Company primary</x:v>
      </x:c>
      <x:c r="E35" s="18" t="str">
        <x:v>https://www.nomuraholdings.com/en/investor/library/sec/main/0113/teaserItems2/00/linkList/0/link/250623_e.pdf</x:v>
      </x:c>
      <x:c r="F35" s="18" t="str">
        <x:v>Definitions and recurring-asset context</x:v>
      </x:c>
      <x:c r="G35" s="18" t="str">
        <x:v>FY2024/25</x:v>
      </x:c>
      <x:c r="H35" s="18" t="str">
        <x:v>Definition/reclassification notes apply.</x:v>
      </x:c>
    </x:row>
    <x:row r="36" ht="26.399999618530273" hidden="0" customHeight="1">
      <x:c r="A36" s="18" t="str">
        <x:v>S31</x:v>
      </x:c>
      <x:c r="B36" s="18" t="str">
        <x:v>Daiwa Securities Group</x:v>
      </x:c>
      <x:c r="C36" s="18" t="str">
        <x:v>Integrated Report 2025 - Asset Management/NISA</x:v>
      </x:c>
      <x:c r="D36" s="18" t="str">
        <x:v>Company primary</x:v>
      </x:c>
      <x:c r="E36" s="18" t="str">
        <x:v>https://www.daiwa-grp.jp/english/ir/toolkit/annualreport/pdf/ar2025/ar2025e_23.pdf</x:v>
      </x:c>
      <x:c r="F36" s="18" t="str">
        <x:v>NISA-eligible fund inflows/balance/share</x:v>
      </x:c>
      <x:c r="G36" s="18" t="str">
        <x:v>FY2024</x:v>
      </x:c>
      <x:c r="H36" s="18" t="str">
        <x:v>Product-manufacturing exposure differs from broker-account exposure.</x:v>
      </x:c>
    </x:row>
    <x:row r="37" ht="26.399999618530273" hidden="0" customHeight="1">
      <x:c r="A37" s="18" t="str">
        <x:v>S32</x:v>
      </x:c>
      <x:c r="B37" s="18" t="str">
        <x:v>Japan Securities Dealers Association</x:v>
      </x:c>
      <x:c r="C37" s="18" t="str">
        <x:v>Survey of New NISA purchase funding</x:v>
      </x:c>
      <x:c r="D37" s="18" t="str">
        <x:v>Official industry survey</x:v>
      </x:c>
      <x:c r="E37" s="18" t="str">
        <x:v>https://www.jsda.or.jp/houdou/2025/20250212_nisa.pdf</x:v>
      </x:c>
      <x:c r="F37" s="18" t="str">
        <x:v>Funding sources</x:v>
      </x:c>
      <x:c r="G37" s="18" t="str">
        <x:v>2025 publication</x:v>
      </x:c>
      <x:c r="H37" s="18" t="str">
        <x:v>Multiple-response survey of 7,610 users; not transaction-flow data.</x:v>
      </x:c>
    </x:row>
    <x:row r="38" ht="26.399999618530273" hidden="0" customHeight="1">
      <x:c r="A38" s="18" t="str">
        <x:v>S33</x:v>
      </x:c>
      <x:c r="B38" s="18" t="str">
        <x:v>Japan Securities Dealers Association</x:v>
      </x:c>
      <x:c r="C38" s="18" t="str">
        <x:v>Individual-investor survey evidence in New NISA White Paper 2025</x:v>
      </x:c>
      <x:c r="D38" s="18" t="str">
        <x:v>Official industry survey</x:v>
      </x:c>
      <x:c r="E38" s="18" t="str">
        <x:v>https://www.jsda.or.jp/shiryoshitsu/toukei/shin-nisa-hakusyo/shin_nisa_hakusyo_2025.pdf</x:v>
      </x:c>
      <x:c r="F38" s="18" t="str">
        <x:v>Pre-NISA investment experience and behavioral context</x:v>
      </x:c>
      <x:c r="G38" s="18" t="str">
        <x:v>2025 survey</x:v>
      </x:c>
      <x:c r="H38" s="18" t="str">
        <x:v>Survey sample of securities holders/respondents; contextual, not population representative.</x:v>
      </x:c>
    </x:row>
    <x:row r="39">
      <x:c r="A39" s="18" t="str">
        <x:v>S34</x:v>
      </x:c>
      <x:c r="B39" s="18" t="str">
        <x:v>Japan Securities Dealers Association</x:v>
      </x:c>
      <x:c r="C39" s="18" t="str">
        <x:v>New NISA White Paper 2024</x:v>
      </x:c>
      <x:c r="D39" s="18" t="str">
        <x:v>Official industry primary</x:v>
      </x:c>
      <x:c r="E39" s="18" t="str">
        <x:v>https://www.jsda.or.jp/houdou/2025/shinnisahakusyo_20250630.pdf</x:v>
      </x:c>
      <x:c r="F39" s="18" t="str">
        <x:v>2024 age-cohort growth/accumulation purchase amounts and distribution</x:v>
      </x:c>
      <x:c r="G39" s="18" t="str">
        <x:v>Published 2025-06-30</x:v>
      </x:c>
      <x:c r="H39" s="18" t="str">
        <x:v>Age purchase components are rounded. Growth-quota components sum exactly to the official total; accumulation components differ by ¥0.2bn because of rounding.</x:v>
      </x:c>
    </x:row>
    <x:row r="40">
      <x:c r="A40" s="18" t="str">
        <x:v>S35</x:v>
      </x:c>
      <x:c r="B40" s="18" t="str">
        <x:v>Financial Services Agency (Japan)</x:v>
      </x:c>
      <x:c r="C40" s="18" t="str">
        <x:v>Access FSA No. 234 - Overview of the existing NISA system</x:v>
      </x:c>
      <x:c r="D40" s="18" t="str">
        <x:v>Official primary</x:v>
      </x:c>
      <x:c r="E40" s="18" t="str">
        <x:v>https://www.fsa.go.jp/en/newsletter/accessfsa2023/234.pdf</x:v>
      </x:c>
      <x:c r="F40" s="18" t="str">
        <x:v>Pre-2024 General NISA and Tsumitate NISA annual limits and tax-free holding periods</x:v>
      </x:c>
      <x:c r="G40" s="18" t="str">
        <x:v>2023</x:v>
      </x:c>
      <x:c r="H40" s="18" t="str">
        <x:v>Existing system: Tsumitate NISA annual quota ¥0.4m and 20-year tax-free period; General NISA annual quota ¥1.2m and 5-year tax-free period.</x:v>
      </x:c>
    </x:row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9" hidden="0" customWidth="1"/>
    <x:col min="5" max="5" width="58" hidden="0" customWidth="1"/>
    <x:col min="6" max="6" width="24" hidden="0" customWidth="1"/>
    <x:col min="7" max="7" width="23" hidden="0" customWidth="1"/>
    <x:col min="8" max="8" width="48" hidden="0" customWidth="1"/>
  </x:cols>
  <x:sheetData>
    <x:row r="1" ht="19.200000762939453" hidden="0" customHeight="1">
      <x:c r="A1" s="4" t="str">
        <x:v>02_Raw_NISA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10" t="str">
        <x:v>Hardcoded source observations only. Blue text = sourced inputs.</x:v>
      </x:c>
      <x:c r="B2" s="10"/>
      <x:c r="C2" s="10"/>
      <x:c r="D2" s="10"/>
      <x:c r="E2" s="10"/>
      <x:c r="F2" s="10"/>
      <x:c r="G2" s="10"/>
      <x:c r="H2" s="10"/>
    </x:row>
    <x:row r="3"/>
    <x:row r="4" ht="15" hidden="0" customHeight="1">
      <x:c r="A4" s="22" t="str">
        <x:v>A. Historical NISA account stocks and securities-company cumulative purchases</x:v>
      </x:c>
      <x:c r="B4" s="22"/>
      <x:c r="C4" s="22"/>
      <x:c r="D4" s="22"/>
      <x:c r="E4" s="22"/>
      <x:c r="F4" s="22"/>
      <x:c r="G4" s="22"/>
      <x:c r="H4" s="22"/>
    </x:row>
    <x:row r="5" ht="21.600000381469727" hidden="0" customHeight="1">
      <x:c r="A5" s="16" t="str">
        <x:v>Year</x:v>
      </x:c>
      <x:c r="B5" s="16" t="str">
        <x:v>All Institutions Accounts (m)</x:v>
      </x:c>
      <x:c r="C5" s="16" t="str">
        <x:v>Securities Accounts (m)</x:v>
      </x:c>
      <x:c r="D5" s="16" t="str">
        <x:v>Securities Cumulative Purchases (¥tn)</x:v>
      </x:c>
      <x:c r="E5" s="16" t="str">
        <x:v>Source ID</x:v>
      </x:c>
      <x:c r="F5" s="16" t="str">
        <x:v>Source URL</x:v>
      </x:c>
      <x:c r="G5" s="16" t="str">
        <x:v>Regime</x:v>
      </x:c>
      <x:c r="H5" s="16" t="str">
        <x:v>Notes</x:v>
      </x:c>
    </x:row>
    <x:row r="6" ht="15" hidden="0" customHeight="1">
      <x:c r="A6" s="24" t="n">
        <x:v>2014</x:v>
      </x:c>
      <x:c r="B6" s="26" t="n">
        <x:v>8.25</x:v>
      </x:c>
      <x:c r="C6" s="26" t="n">
        <x:v>5.13</x:v>
      </x:c>
      <x:c r="D6" s="28" t="n">
        <x:v>1.8258</x:v>
      </x:c>
      <x:c r="E6" s="24" t="str">
        <x:v>S03</x:v>
      </x:c>
      <x:c r="F6" s="24" t="str">
        <x:v>https://www.jsda.or.jp/shiryoshitsu/toukei/files/nisajoukyou/nisa_kako.xlsx</x:v>
      </x:c>
      <x:c r="G6" s="24" t="str">
        <x:v>Old NISA</x:v>
      </x:c>
      <x:c r="H6" s="24" t="str">
        <x:v>Historical stocks rounded.</x:v>
      </x:c>
    </x:row>
    <x:row r="7" ht="15" hidden="0" customHeight="1">
      <x:c r="A7" s="24" t="n">
        <x:v>2015</x:v>
      </x:c>
      <x:c r="B7" s="26" t="n">
        <x:v>9.88</x:v>
      </x:c>
      <x:c r="C7" s="26" t="n">
        <x:v>5.9</x:v>
      </x:c>
      <x:c r="D7" s="28" t="n">
        <x:v>3.9907</x:v>
      </x:c>
      <x:c r="E7" s="24" t="str">
        <x:v>S03</x:v>
      </x:c>
      <x:c r="F7" s="24" t="str">
        <x:v>https://www.jsda.or.jp/shiryoshitsu/toukei/files/nisajoukyou/nisa_kako.xlsx</x:v>
      </x:c>
      <x:c r="G7" s="24" t="str">
        <x:v>Old NISA</x:v>
      </x:c>
      <x:c r="H7" s="24" t="str"/>
    </x:row>
    <x:row r="8" ht="15" hidden="0" customHeight="1">
      <x:c r="A8" s="24" t="n">
        <x:v>2016</x:v>
      </x:c>
      <x:c r="B8" s="26" t="n">
        <x:v>10.61</x:v>
      </x:c>
      <x:c r="C8" s="26" t="n">
        <x:v>6.28</x:v>
      </x:c>
      <x:c r="D8" s="28" t="n">
        <x:v>5.9602</x:v>
      </x:c>
      <x:c r="E8" s="24" t="str">
        <x:v>S03</x:v>
      </x:c>
      <x:c r="F8" s="24" t="str">
        <x:v>https://www.jsda.or.jp/shiryoshitsu/toukei/files/nisajoukyou/nisa_kako.xlsx</x:v>
      </x:c>
      <x:c r="G8" s="24" t="str">
        <x:v>Old NISA</x:v>
      </x:c>
      <x:c r="H8" s="24" t="str"/>
    </x:row>
    <x:row r="9" ht="15" hidden="0" customHeight="1">
      <x:c r="A9" s="24" t="n">
        <x:v>2017</x:v>
      </x:c>
      <x:c r="B9" s="26" t="n">
        <x:v>10.99</x:v>
      </x:c>
      <x:c r="C9" s="26" t="n">
        <x:v>6.48</x:v>
      </x:c>
      <x:c r="D9" s="28" t="n">
        <x:v>8.0239</x:v>
      </x:c>
      <x:c r="E9" s="24" t="str">
        <x:v>S03</x:v>
      </x:c>
      <x:c r="F9" s="24" t="str">
        <x:v>https://www.jsda.or.jp/shiryoshitsu/toukei/files/nisajoukyou/nisa_kako.xlsx</x:v>
      </x:c>
      <x:c r="G9" s="24" t="str">
        <x:v>Old NISA</x:v>
      </x:c>
      <x:c r="H9" s="24" t="str"/>
    </x:row>
    <x:row r="10" ht="15" hidden="0" customHeight="1">
      <x:c r="A10" s="24" t="n">
        <x:v>2018</x:v>
      </x:c>
      <x:c r="B10" s="26" t="n">
        <x:v>12.54</x:v>
      </x:c>
      <x:c r="C10" s="26" t="n">
        <x:v>7.33</x:v>
      </x:c>
      <x:c r="D10" s="28" t="n">
        <x:v>10.231</x:v>
      </x:c>
      <x:c r="E10" s="24" t="str">
        <x:v>S03</x:v>
      </x:c>
      <x:c r="F10" s="24" t="str">
        <x:v>https://www.jsda.or.jp/shiryoshitsu/toukei/files/nisajoukyou/nisa_kako.xlsx</x:v>
      </x:c>
      <x:c r="G10" s="24" t="str">
        <x:v>Old NISA</x:v>
      </x:c>
      <x:c r="H10" s="24" t="str"/>
    </x:row>
    <x:row r="11" ht="15" hidden="0" customHeight="1">
      <x:c r="A11" s="24" t="n">
        <x:v>2019</x:v>
      </x:c>
      <x:c r="B11" s="26" t="n">
        <x:v>13.64</x:v>
      </x:c>
      <x:c r="C11" s="26" t="n">
        <x:v>7.93</x:v>
      </x:c>
      <x:c r="D11" s="28" t="n">
        <x:v>11.8682</x:v>
      </x:c>
      <x:c r="E11" s="24" t="str">
        <x:v>S03</x:v>
      </x:c>
      <x:c r="F11" s="24" t="str">
        <x:v>https://www.jsda.or.jp/shiryoshitsu/toukei/files/nisajoukyou/nisa_kako.xlsx</x:v>
      </x:c>
      <x:c r="G11" s="24" t="str">
        <x:v>Old NISA</x:v>
      </x:c>
      <x:c r="H11" s="24" t="str"/>
    </x:row>
    <x:row r="12" ht="15" hidden="0" customHeight="1">
      <x:c r="A12" s="24" t="n">
        <x:v>2020</x:v>
      </x:c>
      <x:c r="B12" s="26" t="n">
        <x:v>15.23</x:v>
      </x:c>
      <x:c r="C12" s="26" t="n">
        <x:v>9.1</x:v>
      </x:c>
      <x:c r="D12" s="28" t="n">
        <x:v>14.1129</x:v>
      </x:c>
      <x:c r="E12" s="24" t="str">
        <x:v>S03</x:v>
      </x:c>
      <x:c r="F12" s="24" t="str">
        <x:v>https://www.jsda.or.jp/shiryoshitsu/toukei/files/nisajoukyou/nisa_kako.xlsx</x:v>
      </x:c>
      <x:c r="G12" s="24" t="str">
        <x:v>Old NISA</x:v>
      </x:c>
      <x:c r="H12" s="24" t="str"/>
    </x:row>
    <x:row r="13" ht="15" hidden="0" customHeight="1">
      <x:c r="A13" s="24" t="n">
        <x:v>2021</x:v>
      </x:c>
      <x:c r="B13" s="26" t="n">
        <x:v>17.65</x:v>
      </x:c>
      <x:c r="C13" s="26" t="n">
        <x:v>11.05</x:v>
      </x:c>
      <x:c r="D13" s="28" t="n">
        <x:v>16.9914</x:v>
      </x:c>
      <x:c r="E13" s="24" t="str">
        <x:v>S03</x:v>
      </x:c>
      <x:c r="F13" s="24" t="str">
        <x:v>https://www.jsda.or.jp/shiryoshitsu/toukei/files/nisajoukyou/nisa_kako.xlsx</x:v>
      </x:c>
      <x:c r="G13" s="24" t="str">
        <x:v>Old NISA</x:v>
      </x:c>
      <x:c r="H13" s="24" t="str"/>
    </x:row>
    <x:row r="14" ht="15" hidden="0" customHeight="1">
      <x:c r="A14" s="24" t="n">
        <x:v>2022</x:v>
      </x:c>
      <x:c r="B14" s="26" t="n">
        <x:v>18.01</x:v>
      </x:c>
      <x:c r="C14" s="26" t="n">
        <x:v>11.74</x:v>
      </x:c>
      <x:c r="D14" s="28" t="n">
        <x:v>20.1969</x:v>
      </x:c>
      <x:c r="E14" s="24" t="str">
        <x:v>S03</x:v>
      </x:c>
      <x:c r="F14" s="24" t="str">
        <x:v>https://www.jsda.or.jp/shiryoshitsu/toukei/files/nisajoukyou/nisa_kako.xlsx</x:v>
      </x:c>
      <x:c r="G14" s="24" t="str">
        <x:v>Old NISA</x:v>
      </x:c>
      <x:c r="H14" s="24" t="str">
        <x:v>2022 comparability affected by account closures, per JSDA note.</x:v>
      </x:c>
    </x:row>
    <x:row r="15" ht="15" hidden="0" customHeight="1">
      <x:c r="A15" s="24" t="n">
        <x:v>2023</x:v>
      </x:c>
      <x:c r="B15" s="26" t="n">
        <x:v>21.25</x:v>
      </x:c>
      <x:c r="C15" s="26" t="n">
        <x:v>14.28</x:v>
      </x:c>
      <x:c r="D15" s="28" t="n">
        <x:v>24.0457</x:v>
      </x:c>
      <x:c r="E15" s="24" t="str">
        <x:v>S03;S07</x:v>
      </x:c>
      <x:c r="F15" s="24" t="str">
        <x:v>https://www.jsda.or.jp/shiryoshitsu/toukei/files/nisajoukyou/nisa_kako.xlsx</x:v>
      </x:c>
      <x:c r="G15" s="24" t="str">
        <x:v>Old NISA</x:v>
      </x:c>
      <x:c r="H15" s="24" t="str">
        <x:v>Final pre-reform baseline.</x:v>
      </x:c>
    </x:row>
    <x:row r="16" ht="15" hidden="0" customHeight="1">
      <x:c r="A16" s="24" t="n">
        <x:v>2024</x:v>
      </x:c>
      <x:c r="B16" s="26" t="n">
        <x:v>25.59</x:v>
      </x:c>
      <x:c r="C16" s="26" t="n">
        <x:v>18.03</x:v>
      </x:c>
      <x:c r="D16" s="28" t="n">
        <x:v>38.0904</x:v>
      </x:c>
      <x:c r="E16" s="24" t="str">
        <x:v>S03;S06</x:v>
      </x:c>
      <x:c r="F16" s="24" t="str">
        <x:v>https://www.jsda.or.jp/shiryoshitsu/toukei/files/nisajoukyou/nisa_kako_since2024.xlsx</x:v>
      </x:c>
      <x:c r="G16" s="24" t="str">
        <x:v>New NISA</x:v>
      </x:c>
      <x:c r="H16" s="24" t="str">
        <x:v>First full New NISA year.</x:v>
      </x:c>
    </x:row>
    <x:row r="17" ht="15" hidden="0" customHeight="1">
      <x:c r="A17" s="24" t="n">
        <x:v>2025</x:v>
      </x:c>
      <x:c r="B17" s="26" t="n">
        <x:v>28.21</x:v>
      </x:c>
      <x:c r="C17" s="26" t="n">
        <x:v>20.25</x:v>
      </x:c>
      <x:c r="D17" s="28"/>
      <x:c r="E17" s="24" t="str">
        <x:v>S02;S03</x:v>
      </x:c>
      <x:c r="F17" s="24" t="str">
        <x:v>https://www.fsa.go.jp/policy/nisa/20260703.html</x:v>
      </x:c>
      <x:c r="G17" s="24" t="str">
        <x:v>New NISA</x:v>
      </x:c>
      <x:c r="H17" s="24" t="str">
        <x:v>Final 2025 accounts; annual flow sourced directly below.</x:v>
      </x:c>
    </x:row>
    <x:row r="18"/>
    <x:row r="19"/>
    <x:row r="20" ht="15" hidden="0" customHeight="1">
      <x:c r="A20" s="22" t="str">
        <x:v>B. Final annual New NISA purchases</x:v>
      </x:c>
      <x:c r="B20" s="22"/>
      <x:c r="C20" s="22"/>
      <x:c r="D20" s="22"/>
      <x:c r="E20" s="22"/>
      <x:c r="F20" s="22"/>
      <x:c r="G20" s="22"/>
      <x:c r="H20" s="22"/>
    </x:row>
    <x:row r="21" ht="15" hidden="0" customHeight="1">
      <x:c r="A21" s="16" t="str">
        <x:v>Year</x:v>
      </x:c>
      <x:c r="B21" s="16" t="str">
        <x:v>Universe</x:v>
      </x:c>
      <x:c r="C21" s="16" t="str">
        <x:v>Growth Quota (¥tn)</x:v>
      </x:c>
      <x:c r="D21" s="16" t="str">
        <x:v>Accumulation Quota (¥tn)</x:v>
      </x:c>
      <x:c r="E21" s="16" t="str">
        <x:v>Total (¥tn)</x:v>
      </x:c>
      <x:c r="F21" s="16" t="str">
        <x:v>Source ID</x:v>
      </x:c>
      <x:c r="G21" s="16" t="str">
        <x:v>Source URL</x:v>
      </x:c>
      <x:c r="H21" s="16" t="str">
        <x:v>Note</x:v>
      </x:c>
    </x:row>
    <x:row r="22" ht="15" hidden="0" customHeight="1">
      <x:c r="A22" s="24" t="n">
        <x:v>2024</x:v>
      </x:c>
      <x:c r="B22" s="24" t="str">
        <x:v>All institutions</x:v>
      </x:c>
      <x:c r="C22" s="28" t="n">
        <x:v>12.4144</x:v>
      </x:c>
      <x:c r="D22" s="28" t="n">
        <x:v>4.9677</x:v>
      </x:c>
      <x:c r="E22" s="28" t="n">
        <x:v>17.3821</x:v>
      </x:c>
      <x:c r="F22" s="24" t="str">
        <x:v>S03;S06</x:v>
      </x:c>
      <x:c r="G22" s="24" t="str">
        <x:v>https://www.jsda.or.jp/shiryoshitsu/toukei/files/nisajoukyou/new_nisaall2.pdf</x:v>
      </x:c>
      <x:c r="H22" s="24" t="str">
        <x:v>Final</x:v>
      </x:c>
    </x:row>
    <x:row r="23" ht="15" hidden="0" customHeight="1">
      <x:c r="A23" s="24" t="n">
        <x:v>2025</x:v>
      </x:c>
      <x:c r="B23" s="24" t="str">
        <x:v>All institutions</x:v>
      </x:c>
      <x:c r="C23" s="28" t="n">
        <x:v>12.5138</x:v>
      </x:c>
      <x:c r="D23" s="28" t="n">
        <x:v>6.2349</x:v>
      </x:c>
      <x:c r="E23" s="28" t="n">
        <x:v>18.7487</x:v>
      </x:c>
      <x:c r="F23" s="24" t="str">
        <x:v>S02;S03</x:v>
      </x:c>
      <x:c r="G23" s="24" t="str">
        <x:v>https://www.fsa.go.jp/policy/nisa/20260703.html</x:v>
      </x:c>
      <x:c r="H23" s="24" t="str">
        <x:v>Final</x:v>
      </x:c>
    </x:row>
    <x:row r="24" ht="15" hidden="0" customHeight="1">
      <x:c r="A24" s="24" t="n">
        <x:v>2024</x:v>
      </x:c>
      <x:c r="B24" s="24" t="str">
        <x:v>Securities companies</x:v>
      </x:c>
      <x:c r="C24" s="28" t="n">
        <x:v>10.1785</x:v>
      </x:c>
      <x:c r="D24" s="28" t="n">
        <x:v>3.8662</x:v>
      </x:c>
      <x:c r="E24" s="28" t="n">
        <x:v>14.0447</x:v>
      </x:c>
      <x:c r="F24" s="24" t="str">
        <x:v>S03</x:v>
      </x:c>
      <x:c r="G24" s="24" t="str">
        <x:v>https://www.jsda.or.jp/shiryoshitsu/toukei/files/nisajoukyou/new_nisaall2.pdf</x:v>
      </x:c>
      <x:c r="H24" s="24" t="str">
        <x:v>Final</x:v>
      </x:c>
    </x:row>
    <x:row r="25" ht="15" hidden="0" customHeight="1">
      <x:c r="A25" s="24" t="n">
        <x:v>2025</x:v>
      </x:c>
      <x:c r="B25" s="24" t="str">
        <x:v>Securities companies</x:v>
      </x:c>
      <x:c r="C25" s="28" t="n">
        <x:v>10.531</x:v>
      </x:c>
      <x:c r="D25" s="28" t="n">
        <x:v>4.823</x:v>
      </x:c>
      <x:c r="E25" s="28" t="n">
        <x:v>15.354</x:v>
      </x:c>
      <x:c r="F25" s="24" t="str">
        <x:v>S03</x:v>
      </x:c>
      <x:c r="G25" s="24" t="str">
        <x:v>https://www.jsda.or.jp/shiryoshitsu/toukei/files/nisajoukyou/new_nisaall2.pdf</x:v>
      </x:c>
      <x:c r="H25" s="24" t="str">
        <x:v>Final</x:v>
      </x:c>
    </x:row>
    <x:row r="26"/>
    <x:row r="27"/>
    <x:row r="28" ht="15" hidden="0" customHeight="1">
      <x:c r="A28" s="22" t="str">
        <x:v>C. 2023-2025 age account stocks</x:v>
      </x:c>
      <x:c r="B28" s="22"/>
      <x:c r="C28" s="22"/>
      <x:c r="D28" s="22"/>
      <x:c r="E28" s="22"/>
      <x:c r="F28" s="22"/>
      <x:c r="G28" s="22"/>
      <x:c r="H28" s="22"/>
    </x:row>
    <x:row r="29" ht="15" hidden="0" customHeight="1">
      <x:c r="A29" s="16" t="str">
        <x:v>Age Cohort</x:v>
      </x:c>
      <x:c r="B29" s="16" t="str">
        <x:v>2023 Accounts (m)</x:v>
      </x:c>
      <x:c r="C29" s="16" t="str">
        <x:v>2024 Accounts (m)</x:v>
      </x:c>
      <x:c r="D29" s="16" t="str">
        <x:v>2025 Accounts (m)</x:v>
      </x:c>
      <x:c r="E29" s="16" t="str">
        <x:v>Source ID</x:v>
      </x:c>
      <x:c r="F29" s="16" t="str">
        <x:v>Source URL</x:v>
      </x:c>
      <x:c r="G29" s="16" t="str">
        <x:v>Comparability</x:v>
      </x:c>
      <x:c r="H29" s="16" t="str">
        <x:v>Notes</x:v>
      </x:c>
    </x:row>
    <x:row r="30" ht="15" hidden="0" customHeight="1">
      <x:c r="A30" s="24" t="str">
        <x:v>&lt;=20s</x:v>
      </x:c>
      <x:c r="B30" s="26" t="n">
        <x:v>2.313249</x:v>
      </x:c>
      <x:c r="C30" s="26" t="n">
        <x:v>3.069894</x:v>
      </x:c>
      <x:c r="D30" s="26" t="n">
        <x:v>3.502481</x:v>
      </x:c>
      <x:c r="E30" s="24" t="str">
        <x:v>S02;S06;S07</x:v>
      </x:c>
      <x:c r="F30" s="24" t="str">
        <x:v>https://www.fsa.go.jp/policy/nisa/20260703.html</x:v>
      </x:c>
      <x:c r="G30" s="24" t="str">
        <x:v>Merged teens+20s</x:v>
      </x:c>
      <x:c r="H30" s="24" t="str">
        <x:v>Exact final counts. 2023: S07; 2024: S06; 2025: S02. Teens and 20s merged.</x:v>
      </x:c>
    </x:row>
    <x:row r="31" ht="15" hidden="0" customHeight="1">
      <x:c r="A31" s="24" t="str">
        <x:v>30s</x:v>
      </x:c>
      <x:c r="B31" s="26" t="n">
        <x:v>3.707521</x:v>
      </x:c>
      <x:c r="C31" s="26" t="n">
        <x:v>4.486512</x:v>
      </x:c>
      <x:c r="D31" s="26" t="n">
        <x:v>4.94569</x:v>
      </x:c>
      <x:c r="E31" s="24" t="str">
        <x:v>S02;S06;S07</x:v>
      </x:c>
      <x:c r="F31" s="24" t="str">
        <x:v>https://www.fsa.go.jp/policy/nisa/20260703.html</x:v>
      </x:c>
      <x:c r="G31" s="24" t="str">
        <x:v>Aligned</x:v>
      </x:c>
      <x:c r="H31" s="24" t="str">
        <x:v>Exact final counts. 2023: S07; 2024: S06; 2025: S02.</x:v>
      </x:c>
    </x:row>
    <x:row r="32" ht="15" hidden="0" customHeight="1">
      <x:c r="A32" s="24" t="str">
        <x:v>40s</x:v>
      </x:c>
      <x:c r="B32" s="26" t="n">
        <x:v>4.044686</x:v>
      </x:c>
      <x:c r="C32" s="26" t="n">
        <x:v>4.923179</x:v>
      </x:c>
      <x:c r="D32" s="26" t="n">
        <x:v>5.381768</x:v>
      </x:c>
      <x:c r="E32" s="24" t="str">
        <x:v>S02;S06;S07</x:v>
      </x:c>
      <x:c r="F32" s="24" t="str">
        <x:v>https://www.fsa.go.jp/policy/nisa/20260703.html</x:v>
      </x:c>
      <x:c r="G32" s="24" t="str">
        <x:v>Aligned</x:v>
      </x:c>
      <x:c r="H32" s="24" t="str">
        <x:v>Exact final counts. 2023: S07; 2024: S06; 2025: S02.</x:v>
      </x:c>
    </x:row>
    <x:row r="33" ht="15" hidden="0" customHeight="1">
      <x:c r="A33" s="24" t="str">
        <x:v>50s</x:v>
      </x:c>
      <x:c r="B33" s="26" t="n">
        <x:v>3.945129</x:v>
      </x:c>
      <x:c r="C33" s="26" t="n">
        <x:v>4.951402</x:v>
      </x:c>
      <x:c r="D33" s="26" t="n">
        <x:v>5.531813</x:v>
      </x:c>
      <x:c r="E33" s="24" t="str">
        <x:v>S02;S06;S07</x:v>
      </x:c>
      <x:c r="F33" s="24" t="str">
        <x:v>https://www.fsa.go.jp/policy/nisa/20260703.html</x:v>
      </x:c>
      <x:c r="G33" s="24" t="str">
        <x:v>Aligned</x:v>
      </x:c>
      <x:c r="H33" s="24" t="str">
        <x:v>Exact final counts. 2023: S07; 2024: S06; 2025: S02.</x:v>
      </x:c>
    </x:row>
    <x:row r="34" ht="15" hidden="0" customHeight="1">
      <x:c r="A34" s="24" t="str">
        <x:v>60s</x:v>
      </x:c>
      <x:c r="B34" s="26" t="n">
        <x:v>3.188843</x:v>
      </x:c>
      <x:c r="C34" s="26" t="n">
        <x:v>3.770942</x:v>
      </x:c>
      <x:c r="D34" s="26" t="n">
        <x:v>4.175854</x:v>
      </x:c>
      <x:c r="E34" s="24" t="str">
        <x:v>S02;S06;S07</x:v>
      </x:c>
      <x:c r="F34" s="24" t="str">
        <x:v>https://www.fsa.go.jp/policy/nisa/20260703.html</x:v>
      </x:c>
      <x:c r="G34" s="24" t="str">
        <x:v>Aligned</x:v>
      </x:c>
      <x:c r="H34" s="24" t="str">
        <x:v>Exact final counts. 2023: S07; 2024: S06; 2025: S02.</x:v>
      </x:c>
    </x:row>
    <x:row r="35" ht="15" hidden="0" customHeight="1">
      <x:c r="A35" s="24" t="str">
        <x:v>70s</x:v>
      </x:c>
      <x:c r="B35" s="26" t="n">
        <x:v>2.629057</x:v>
      </x:c>
      <x:c r="C35" s="26" t="n">
        <x:v>2.839669</x:v>
      </x:c>
      <x:c r="D35" s="26" t="n">
        <x:v>3.078095</x:v>
      </x:c>
      <x:c r="E35" s="24" t="str">
        <x:v>S02;S06;S07</x:v>
      </x:c>
      <x:c r="F35" s="24" t="str">
        <x:v>https://www.fsa.go.jp/policy/nisa/20260703.html</x:v>
      </x:c>
      <x:c r="G35" s="24" t="str">
        <x:v>Aligned</x:v>
      </x:c>
      <x:c r="H35" s="24" t="str">
        <x:v>Exact final counts. 2023: S07; 2024: S06; 2025: S02.</x:v>
      </x:c>
    </x:row>
    <x:row r="36" ht="15" hidden="0" customHeight="1">
      <x:c r="A36" s="24" t="str">
        <x:v>80+</x:v>
      </x:c>
      <x:c r="B36" s="26" t="n">
        <x:v>1.377958</x:v>
      </x:c>
      <x:c r="C36" s="26" t="n">
        <x:v>1.544862</x:v>
      </x:c>
      <x:c r="D36" s="26" t="n">
        <x:v>1.590733</x:v>
      </x:c>
      <x:c r="E36" s="24" t="str">
        <x:v>S02;S06;S07</x:v>
      </x:c>
      <x:c r="F36" s="24" t="str">
        <x:v>https://www.fsa.go.jp/policy/nisa/20260703.html</x:v>
      </x:c>
      <x:c r="G36" s="24" t="str">
        <x:v>Aligned</x:v>
      </x:c>
      <x:c r="H36" s="24" t="str">
        <x:v>Exact final counts. 2023: S07; 2024: S06; 2025: S02.</x:v>
      </x:c>
    </x:row>
    <x:row r="37"/>
    <x:row r="38"/>
    <x:row r="39" ht="15" hidden="0" customHeight="1">
      <x:c r="A39" s="22" t="str">
        <x:v>D. Direct age penetration rates</x:v>
      </x:c>
      <x:c r="B39" s="22"/>
      <x:c r="C39" s="22"/>
      <x:c r="D39" s="22"/>
      <x:c r="E39" s="22"/>
      <x:c r="F39" s="22"/>
      <x:c r="G39" s="22"/>
      <x:c r="H39" s="22"/>
    </x:row>
    <x:row r="40" ht="15" hidden="0" customHeight="1">
      <x:c r="A40" s="16" t="str">
        <x:v>Age Cohort</x:v>
      </x:c>
      <x:c r="B40" s="16" t="str">
        <x:v>2024 Penetration</x:v>
      </x:c>
      <x:c r="C40" s="16" t="str">
        <x:v>2025 Penetration</x:v>
      </x:c>
      <x:c r="D40" s="16" t="str">
        <x:v>Source ID</x:v>
      </x:c>
      <x:c r="E40" s="16" t="str">
        <x:v>Source URL</x:v>
      </x:c>
      <x:c r="F40" s="16" t="str">
        <x:v>2024 Population Basis</x:v>
      </x:c>
      <x:c r="G40" s="16" t="str">
        <x:v>2025 Population Basis</x:v>
      </x:c>
      <x:c r="H40" s="16" t="str">
        <x:v>Notes</x:v>
      </x:c>
    </x:row>
    <x:row r="41" ht="15" hidden="0" customHeight="1">
      <x:c r="A41" s="24" t="str">
        <x:v>10s</x:v>
      </x:c>
      <x:c r="B41" s="30" t="n">
        <x:v>0.054</x:v>
      </x:c>
      <x:c r="C41" s="30" t="n">
        <x:v>0.061</x:v>
      </x:c>
      <x:c r="D41" s="24" t="str">
        <x:v>S04;S34</x:v>
      </x:c>
      <x:c r="E41" s="24" t="str">
        <x:v>https://www.jsda.or.jp/shiryoshitsu/toukei/shin-nisa-hakusyo/shin_nisa_hakusyo_2025.pdf</x:v>
      </x:c>
      <x:c r="F41" s="24" t="str">
        <x:v>2024-10</x:v>
      </x:c>
      <x:c r="G41" s="24" t="str">
        <x:v>2024-10</x:v>
      </x:c>
      <x:c r="H41" s="24" t="str">
        <x:v>NISA eligible only ages 18-19 within this cohort.</x:v>
      </x:c>
    </x:row>
    <x:row r="42" ht="15" hidden="0" customHeight="1">
      <x:c r="A42" s="24" t="str">
        <x:v>20s</x:v>
      </x:c>
      <x:c r="B42" s="30" t="n">
        <x:v>0.231</x:v>
      </x:c>
      <x:c r="C42" s="30" t="n">
        <x:v>0.264</x:v>
      </x:c>
      <x:c r="D42" s="24" t="str">
        <x:v>S04;S34</x:v>
      </x:c>
      <x:c r="E42" s="24" t="str">
        <x:v>https://www.jsda.or.jp/shiryoshitsu/toukei/shin-nisa-hakusyo/shin_nisa_hakusyo_2025.pdf</x:v>
      </x:c>
      <x:c r="F42" s="24" t="str">
        <x:v>2024-10</x:v>
      </x:c>
      <x:c r="G42" s="24" t="str">
        <x:v>2024-10</x:v>
      </x:c>
      <x:c r="H42" s="24" t="str"/>
    </x:row>
    <x:row r="43" ht="15" hidden="0" customHeight="1">
      <x:c r="A43" s="24" t="str">
        <x:v>30s</x:v>
      </x:c>
      <x:c r="B43" s="30" t="n">
        <x:v>0.338</x:v>
      </x:c>
      <x:c r="C43" s="30" t="n">
        <x:v>0.373</x:v>
      </x:c>
      <x:c r="D43" s="24" t="str">
        <x:v>S04;S34</x:v>
      </x:c>
      <x:c r="E43" s="24" t="str">
        <x:v>https://www.jsda.or.jp/shiryoshitsu/toukei/shin-nisa-hakusyo/shin_nisa_hakusyo_2025.pdf</x:v>
      </x:c>
      <x:c r="F43" s="24" t="str">
        <x:v>2024-10</x:v>
      </x:c>
      <x:c r="G43" s="24" t="str">
        <x:v>2024-10</x:v>
      </x:c>
      <x:c r="H43" s="24" t="str">
        <x:v>Highest penetration.</x:v>
      </x:c>
    </x:row>
    <x:row r="44" ht="15" hidden="0" customHeight="1">
      <x:c r="A44" s="24" t="str">
        <x:v>40s</x:v>
      </x:c>
      <x:c r="B44" s="30" t="n">
        <x:v>0.301</x:v>
      </x:c>
      <x:c r="C44" s="30" t="n">
        <x:v>0.329</x:v>
      </x:c>
      <x:c r="D44" s="24" t="str">
        <x:v>S04;S34</x:v>
      </x:c>
      <x:c r="E44" s="24" t="str">
        <x:v>https://www.jsda.or.jp/shiryoshitsu/toukei/shin-nisa-hakusyo/shin_nisa_hakusyo_2025.pdf</x:v>
      </x:c>
      <x:c r="F44" s="24" t="str">
        <x:v>2024-10</x:v>
      </x:c>
      <x:c r="G44" s="24" t="str">
        <x:v>2024-10</x:v>
      </x:c>
      <x:c r="H44" s="24" t="str"/>
    </x:row>
    <x:row r="45" ht="15" hidden="0" customHeight="1">
      <x:c r="A45" s="24" t="str">
        <x:v>50s</x:v>
      </x:c>
      <x:c r="B45" s="30" t="n">
        <x:v>0.271</x:v>
      </x:c>
      <x:c r="C45" s="30" t="n">
        <x:v>0.303</x:v>
      </x:c>
      <x:c r="D45" s="24" t="str">
        <x:v>S04;S34</x:v>
      </x:c>
      <x:c r="E45" s="24" t="str">
        <x:v>https://www.jsda.or.jp/shiryoshitsu/toukei/shin-nisa-hakusyo/shin_nisa_hakusyo_2025.pdf</x:v>
      </x:c>
      <x:c r="F45" s="24" t="str">
        <x:v>2024-10</x:v>
      </x:c>
      <x:c r="G45" s="24" t="str">
        <x:v>2024-10</x:v>
      </x:c>
      <x:c r="H45" s="24" t="str"/>
    </x:row>
    <x:row r="46" ht="15" hidden="0" customHeight="1">
      <x:c r="A46" s="24" t="str">
        <x:v>60s</x:v>
      </x:c>
      <x:c r="B46" s="30" t="n">
        <x:v>0.254</x:v>
      </x:c>
      <x:c r="C46" s="30" t="n">
        <x:v>0.281</x:v>
      </x:c>
      <x:c r="D46" s="24" t="str">
        <x:v>S04;S34</x:v>
      </x:c>
      <x:c r="E46" s="24" t="str">
        <x:v>https://www.jsda.or.jp/shiryoshitsu/toukei/shin-nisa-hakusyo/shin_nisa_hakusyo_2025.pdf</x:v>
      </x:c>
      <x:c r="F46" s="24" t="str">
        <x:v>2024-10</x:v>
      </x:c>
      <x:c r="G46" s="24" t="str">
        <x:v>2024-10</x:v>
      </x:c>
      <x:c r="H46" s="24" t="str"/>
    </x:row>
    <x:row r="47" ht="15" hidden="0" customHeight="1">
      <x:c r="A47" s="24" t="str">
        <x:v>70s</x:v>
      </x:c>
      <x:c r="B47" s="30" t="n">
        <x:v>0.177</x:v>
      </x:c>
      <x:c r="C47" s="30" t="n">
        <x:v>0.191</x:v>
      </x:c>
      <x:c r="D47" s="24" t="str">
        <x:v>S04;S34</x:v>
      </x:c>
      <x:c r="E47" s="24" t="str">
        <x:v>https://www.jsda.or.jp/shiryoshitsu/toukei/shin-nisa-hakusyo/shin_nisa_hakusyo_2025.pdf</x:v>
      </x:c>
      <x:c r="F47" s="24" t="str">
        <x:v>2024-10</x:v>
      </x:c>
      <x:c r="G47" s="24" t="str">
        <x:v>2024-10</x:v>
      </x:c>
      <x:c r="H47" s="24" t="str"/>
    </x:row>
    <x:row r="48" ht="15" hidden="0" customHeight="1">
      <x:c r="A48" s="24" t="str">
        <x:v>80+</x:v>
      </x:c>
      <x:c r="B48" s="30" t="n">
        <x:v>0.12</x:v>
      </x:c>
      <x:c r="C48" s="30" t="n">
        <x:v>0.123</x:v>
      </x:c>
      <x:c r="D48" s="24" t="str">
        <x:v>S04;S34</x:v>
      </x:c>
      <x:c r="E48" s="24" t="str">
        <x:v>https://www.jsda.or.jp/shiryoshitsu/toukei/shin-nisa-hakusyo/shin_nisa_hakusyo_2025.pdf</x:v>
      </x:c>
      <x:c r="F48" s="24" t="str">
        <x:v>2024-10</x:v>
      </x:c>
      <x:c r="G48" s="24" t="str">
        <x:v>2024-10</x:v>
      </x:c>
      <x:c r="H48" s="24" t="str"/>
    </x:row>
    <x:row r="49"/>
    <x:row r="50"/>
    <x:row r="51" ht="15" hidden="0" customHeight="1">
      <x:c r="A51" s="22" t="str">
        <x:v>E. 2024 age-cohort New NISA purchases</x:v>
      </x:c>
      <x:c r="B51" s="22"/>
      <x:c r="C51" s="22"/>
      <x:c r="D51" s="22"/>
      <x:c r="E51" s="22"/>
      <x:c r="F51" s="22"/>
      <x:c r="G51" s="22"/>
      <x:c r="H51" s="22"/>
    </x:row>
    <x:row r="52" ht="15" hidden="0" customHeight="1">
      <x:c r="A52" s="16" t="str">
        <x:v>Age Cohort</x:v>
      </x:c>
      <x:c r="B52" s="16" t="str">
        <x:v>Growth Quota (¥bn)</x:v>
      </x:c>
      <x:c r="C52" s="16" t="str">
        <x:v>Accumulation Quota (¥bn)</x:v>
      </x:c>
      <x:c r="D52" s="16" t="str">
        <x:v>Source ID</x:v>
      </x:c>
      <x:c r="E52" s="16" t="str">
        <x:v>Source URL</x:v>
      </x:c>
      <x:c r="F52" s="16" t="str">
        <x:v>Unit Conversion</x:v>
      </x:c>
      <x:c r="G52" s="16" t="str">
        <x:v>Rounding</x:v>
      </x:c>
      <x:c r="H52" s="16" t="str">
        <x:v>Notes</x:v>
      </x:c>
    </x:row>
    <x:row r="53" ht="15" hidden="0" customHeight="1">
      <x:c r="A53" s="24" t="str">
        <x:v>&lt;=20s</x:v>
      </x:c>
      <x:c r="B53" s="32" t="n">
        <x:v>628.8</x:v>
      </x:c>
      <x:c r="C53" s="32" t="n">
        <x:v>555.4</x:v>
      </x:c>
      <x:c r="D53" s="24" t="str">
        <x:v>S34</x:v>
      </x:c>
      <x:c r="E53" s="24" t="str">
        <x:v>https://www.jsda.or.jp/houdou/2025/shinnisahakusyo_20250630.pdf</x:v>
      </x:c>
      <x:c r="F53" s="24" t="str">
        <x:v>Converted to ¥bn</x:v>
      </x:c>
      <x:c r="G53" s="24" t="str">
        <x:v>Rounded</x:v>
      </x:c>
      <x:c r="H53" s="24" t="str">
        <x:v>Merged teens+20s.</x:v>
      </x:c>
    </x:row>
    <x:row r="54" ht="15" hidden="0" customHeight="1">
      <x:c r="A54" s="24" t="str">
        <x:v>30s</x:v>
      </x:c>
      <x:c r="B54" s="32" t="n">
        <x:v>1778.7</x:v>
      </x:c>
      <x:c r="C54" s="32" t="n">
        <x:v>1198.7</x:v>
      </x:c>
      <x:c r="D54" s="24" t="str">
        <x:v>S34</x:v>
      </x:c>
      <x:c r="E54" s="24" t="str">
        <x:v>https://www.jsda.or.jp/houdou/2025/shinnisahakusyo_20250630.pdf</x:v>
      </x:c>
      <x:c r="F54" s="24" t="str">
        <x:v>Converted to ¥bn</x:v>
      </x:c>
      <x:c r="G54" s="24" t="str">
        <x:v>Rounded</x:v>
      </x:c>
      <x:c r="H54" s="24" t="str"/>
    </x:row>
    <x:row r="55" ht="15" hidden="0" customHeight="1">
      <x:c r="A55" s="24" t="str">
        <x:v>40s</x:v>
      </x:c>
      <x:c r="B55" s="32" t="n">
        <x:v>2338.3</x:v>
      </x:c>
      <x:c r="C55" s="32" t="n">
        <x:v>1218.8</x:v>
      </x:c>
      <x:c r="D55" s="24" t="str">
        <x:v>S34</x:v>
      </x:c>
      <x:c r="E55" s="24" t="str">
        <x:v>https://www.jsda.or.jp/houdou/2025/shinnisahakusyo_20250630.pdf</x:v>
      </x:c>
      <x:c r="F55" s="24" t="str">
        <x:v>Converted to ¥bn</x:v>
      </x:c>
      <x:c r="G55" s="24" t="str">
        <x:v>Rounded</x:v>
      </x:c>
      <x:c r="H55" s="24" t="str"/>
    </x:row>
    <x:row r="56" ht="15" hidden="0" customHeight="1">
      <x:c r="A56" s="24" t="str">
        <x:v>50s</x:v>
      </x:c>
      <x:c r="B56" s="32" t="n">
        <x:v>2616</x:v>
      </x:c>
      <x:c r="C56" s="32" t="n">
        <x:v>1092.3</x:v>
      </x:c>
      <x:c r="D56" s="24" t="str">
        <x:v>S34</x:v>
      </x:c>
      <x:c r="E56" s="24" t="str">
        <x:v>https://www.jsda.or.jp/houdou/2025/shinnisahakusyo_20250630.pdf</x:v>
      </x:c>
      <x:c r="F56" s="24" t="str">
        <x:v>Converted to ¥bn</x:v>
      </x:c>
      <x:c r="G56" s="24" t="str">
        <x:v>Rounded</x:v>
      </x:c>
      <x:c r="H56" s="24" t="str"/>
    </x:row>
    <x:row r="57" ht="15" hidden="0" customHeight="1">
      <x:c r="A57" s="24" t="str">
        <x:v>60s</x:v>
      </x:c>
      <x:c r="B57" s="32" t="n">
        <x:v>2511.6</x:v>
      </x:c>
      <x:c r="C57" s="32" t="n">
        <x:v>649</x:v>
      </x:c>
      <x:c r="D57" s="24" t="str">
        <x:v>S34</x:v>
      </x:c>
      <x:c r="E57" s="24" t="str">
        <x:v>https://www.jsda.or.jp/houdou/2025/shinnisahakusyo_20250630.pdf</x:v>
      </x:c>
      <x:c r="F57" s="24" t="str">
        <x:v>Converted to ¥bn</x:v>
      </x:c>
      <x:c r="G57" s="24" t="str">
        <x:v>Rounded</x:v>
      </x:c>
      <x:c r="H57" s="24" t="str"/>
    </x:row>
    <x:row r="58" ht="15" hidden="0" customHeight="1">
      <x:c r="A58" s="24" t="str">
        <x:v>70s</x:v>
      </x:c>
      <x:c r="B58" s="32" t="n">
        <x:v>1880.9</x:v>
      </x:c>
      <x:c r="C58" s="32" t="n">
        <x:v>219.1</x:v>
      </x:c>
      <x:c r="D58" s="24" t="str">
        <x:v>S34</x:v>
      </x:c>
      <x:c r="E58" s="24" t="str">
        <x:v>https://www.jsda.or.jp/houdou/2025/shinnisahakusyo_20250630.pdf</x:v>
      </x:c>
      <x:c r="F58" s="24" t="str">
        <x:v>Converted to ¥bn</x:v>
      </x:c>
      <x:c r="G58" s="24" t="str">
        <x:v>Rounded</x:v>
      </x:c>
      <x:c r="H58" s="24" t="str"/>
    </x:row>
    <x:row r="59" ht="15" hidden="0" customHeight="1">
      <x:c r="A59" s="24" t="str">
        <x:v>80+</x:v>
      </x:c>
      <x:c r="B59" s="32" t="n">
        <x:v>660.1</x:v>
      </x:c>
      <x:c r="C59" s="32" t="n">
        <x:v>34.6</x:v>
      </x:c>
      <x:c r="D59" s="24" t="str">
        <x:v>S34</x:v>
      </x:c>
      <x:c r="E59" s="24" t="str">
        <x:v>https://www.jsda.or.jp/houdou/2025/shinnisahakusyo_20250630.pdf</x:v>
      </x:c>
      <x:c r="F59" s="24" t="str">
        <x:v>Converted to ¥bn</x:v>
      </x:c>
      <x:c r="G59" s="24" t="str">
        <x:v>Rounded</x:v>
      </x:c>
      <x:c r="H59" s="24" t="str"/>
    </x:row>
    <x:row r="60"/>
    <x:row r="61"/>
    <x:row r="62" ht="15" hidden="0" customHeight="1">
      <x:c r="A62" s="22" t="str">
        <x:v>F. 2023 population denominators</x:v>
      </x:c>
      <x:c r="B62" s="22"/>
      <x:c r="C62" s="22"/>
      <x:c r="D62" s="22"/>
      <x:c r="E62" s="22"/>
      <x:c r="F62" s="22"/>
      <x:c r="G62" s="22"/>
      <x:c r="H62" s="22"/>
    </x:row>
    <x:row r="63" ht="15" hidden="0" customHeight="1">
      <x:c r="A63" s="16" t="str">
        <x:v>Age Cohort</x:v>
      </x:c>
      <x:c r="B63" s="16" t="str">
        <x:v>2023 Population (m)</x:v>
      </x:c>
      <x:c r="C63" s="16" t="str">
        <x:v>Definition</x:v>
      </x:c>
      <x:c r="D63" s="16" t="str">
        <x:v>Source ID</x:v>
      </x:c>
      <x:c r="E63" s="16" t="str">
        <x:v>Source URL</x:v>
      </x:c>
      <x:c r="F63" s="16" t="str">
        <x:v>Use</x:v>
      </x:c>
      <x:c r="G63" s="16" t="str">
        <x:v>Unit Check</x:v>
      </x:c>
      <x:c r="H63" s="16" t="str">
        <x:v>Notes</x:v>
      </x:c>
    </x:row>
    <x:row r="64" ht="15" hidden="0" customHeight="1">
      <x:c r="A64" s="24" t="str">
        <x:v>30s</x:v>
      </x:c>
      <x:c r="B64" s="34" t="n">
        <x:v>13.427</x:v>
      </x:c>
      <x:c r="C64" s="24" t="str">
        <x:v>Ages 30-39</x:v>
      </x:c>
      <x:c r="D64" s="24" t="str">
        <x:v>S08</x:v>
      </x:c>
      <x:c r="E64" s="24" t="str">
        <x:v>https://www.stat.go.jp/data/nenkan/74nenkan/zuhyou/y740206000.xlsx</x:v>
      </x:c>
      <x:c r="F64" s="24" t="str">
        <x:v>Supporting penetration</x:v>
      </x:c>
      <x:c r="G64" s="24" t="str">
        <x:v>m persons</x:v>
      </x:c>
      <x:c r="H64" s="24" t="str"/>
    </x:row>
    <x:row r="65" ht="15" hidden="0" customHeight="1">
      <x:c r="A65" s="24" t="str">
        <x:v>40s</x:v>
      </x:c>
      <x:c r="B65" s="34" t="n">
        <x:v>16.88</x:v>
      </x:c>
      <x:c r="C65" s="24" t="str">
        <x:v>Ages 40-49</x:v>
      </x:c>
      <x:c r="D65" s="24" t="str">
        <x:v>S08</x:v>
      </x:c>
      <x:c r="E65" s="24" t="str">
        <x:v>https://www.stat.go.jp/data/nenkan/74nenkan/zuhyou/y740206000.xlsx</x:v>
      </x:c>
      <x:c r="F65" s="24" t="str">
        <x:v>Supporting penetration</x:v>
      </x:c>
      <x:c r="G65" s="24" t="str">
        <x:v>m persons</x:v>
      </x:c>
      <x:c r="H65" s="24" t="str"/>
    </x:row>
    <x:row r="66" ht="15" hidden="0" customHeight="1">
      <x:c r="A66" s="24" t="str">
        <x:v>50s</x:v>
      </x:c>
      <x:c r="B66" s="34" t="n">
        <x:v>17.929</x:v>
      </x:c>
      <x:c r="C66" s="24" t="str">
        <x:v>Ages 50-59</x:v>
      </x:c>
      <x:c r="D66" s="24" t="str">
        <x:v>S08</x:v>
      </x:c>
      <x:c r="E66" s="24" t="str">
        <x:v>https://www.stat.go.jp/data/nenkan/74nenkan/zuhyou/y740206000.xlsx</x:v>
      </x:c>
      <x:c r="F66" s="24" t="str">
        <x:v>Supporting penetration</x:v>
      </x:c>
      <x:c r="G66" s="24" t="str">
        <x:v>m persons</x:v>
      </x:c>
      <x:c r="H66" s="24" t="str"/>
    </x:row>
    <x:row r="67" ht="15" hidden="0" customHeight="1">
      <x:c r="A67" s="24" t="str">
        <x:v>60s</x:v>
      </x:c>
      <x:c r="B67" s="34" t="n">
        <x:v>14.839</x:v>
      </x:c>
      <x:c r="C67" s="24" t="str">
        <x:v>Ages 60-69</x:v>
      </x:c>
      <x:c r="D67" s="24" t="str">
        <x:v>S08</x:v>
      </x:c>
      <x:c r="E67" s="24" t="str">
        <x:v>https://www.stat.go.jp/data/nenkan/74nenkan/zuhyou/y740206000.xlsx</x:v>
      </x:c>
      <x:c r="F67" s="24" t="str">
        <x:v>Supporting penetration</x:v>
      </x:c>
      <x:c r="G67" s="24" t="str">
        <x:v>m persons</x:v>
      </x:c>
      <x:c r="H67" s="24" t="str"/>
    </x:row>
    <x:row r="68" ht="15" hidden="0" customHeight="1">
      <x:c r="A68" s="24" t="str">
        <x:v>70s</x:v>
      </x:c>
      <x:c r="B68" s="34" t="n">
        <x:v>16.291</x:v>
      </x:c>
      <x:c r="C68" s="24" t="str">
        <x:v>Ages 70-79</x:v>
      </x:c>
      <x:c r="D68" s="24" t="str">
        <x:v>S08</x:v>
      </x:c>
      <x:c r="E68" s="24" t="str">
        <x:v>https://www.stat.go.jp/data/nenkan/74nenkan/zuhyou/y740206000.xlsx</x:v>
      </x:c>
      <x:c r="F68" s="24" t="str">
        <x:v>Supporting penetration</x:v>
      </x:c>
      <x:c r="G68" s="24" t="str">
        <x:v>m persons</x:v>
      </x:c>
      <x:c r="H68" s="24" t="str"/>
    </x:row>
    <x:row r="69" ht="15" hidden="0" customHeight="1">
      <x:c r="A69" s="24" t="str">
        <x:v>80+</x:v>
      </x:c>
      <x:c r="B69" s="34" t="n">
        <x:v>12.603</x:v>
      </x:c>
      <x:c r="C69" s="24" t="str">
        <x:v>Ages 80+</x:v>
      </x:c>
      <x:c r="D69" s="24" t="str">
        <x:v>S08</x:v>
      </x:c>
      <x:c r="E69" s="24" t="str">
        <x:v>https://www.stat.go.jp/data/nenkan/74nenkan/zuhyou/y740206000.xlsx</x:v>
      </x:c>
      <x:c r="F69" s="24" t="str">
        <x:v>Supporting penetration</x:v>
      </x:c>
      <x:c r="G69" s="24" t="str">
        <x:v>m persons</x:v>
      </x:c>
      <x:c r="H69" s="24" t="str"/>
    </x:row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H1"/>
    <x:mergeCell ref="A2:H2"/>
    <x:mergeCell ref="A4:H4"/>
    <x:mergeCell ref="A20:H20"/>
    <x:mergeCell ref="A28:H28"/>
    <x:mergeCell ref="A39:H39"/>
    <x:mergeCell ref="A51:H51"/>
    <x:mergeCell ref="A62:H6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20" hidden="0" customWidth="1"/>
    <x:col min="9" max="9" width="21" hidden="0" customWidth="1"/>
    <x:col min="10" max="10" width="14" hidden="0" customWidth="1"/>
    <x:col min="11" max="11" width="22" hidden="0" customWidth="1"/>
    <x:col min="12" max="12" width="12" hidden="0" customWidth="1"/>
  </x:cols>
  <x:sheetData>
    <x:row r="1" ht="19.200000762939453" hidden="0" customHeight="1">
      <x:c r="A1" s="4" t="str">
        <x:v>03_Clean_NISA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15" hidden="0" customHeight="1">
      <x:c r="A2" s="10" t="str">
        <x:v>Formula-driven historical and pre/post-2024 analysis. Green = cross-sheet links; black = calculations.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/>
    <x:row r="4" ht="15" hidden="0" customHeight="1">
      <x:c r="A4" s="22" t="str">
        <x:v>A. Historical participation and purchase intensity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 ht="21.600000381469727" hidden="0" customHeight="1">
      <x:c r="A5" s="16" t="str">
        <x:v>Year</x:v>
      </x:c>
      <x:c r="B5" s="16" t="str">
        <x:v>All Accounts (m)</x:v>
      </x:c>
      <x:c r="C5" s="16" t="str">
        <x:v>YoY All</x:v>
      </x:c>
      <x:c r="D5" s="16" t="str">
        <x:v>Net New All (m)</x:v>
      </x:c>
      <x:c r="E5" s="16" t="str">
        <x:v>Securities Accounts (m)</x:v>
      </x:c>
      <x:c r="F5" s="16" t="str">
        <x:v>YoY Securities</x:v>
      </x:c>
      <x:c r="G5" s="16" t="str">
        <x:v>Net New Sec. (m)</x:v>
      </x:c>
      <x:c r="H5" s="16" t="str">
        <x:v>Sec. Cumulative Purchases (¥tn)</x:v>
      </x:c>
      <x:c r="I5" s="16" t="str">
        <x:v>Sec. Annual Purchases (¥tn)</x:v>
      </x:c>
      <x:c r="J5" s="16" t="str">
        <x:v>Purchase YoY</x:v>
      </x:c>
      <x:c r="K5" s="16" t="str">
        <x:v>Annual Purchases / YE Sec. Account (¥)</x:v>
      </x:c>
      <x:c r="L5" s="16" t="str">
        <x:v>Regime</x:v>
      </x:c>
    </x:row>
    <x:row r="6" ht="15" hidden="0" customHeight="1">
      <x:c r="A6" s="36" t="n">
        <x:f>'02_Raw_NISA'!A6</x:f>
        <x:v>2014</x:v>
      </x:c>
      <x:c r="B6" s="40" t="n">
        <x:f>'02_Raw_NISA'!B6</x:f>
        <x:v>8.25</x:v>
      </x:c>
      <x:c r="C6" s="42"/>
      <x:c r="D6" s="46"/>
      <x:c r="E6" s="40" t="n">
        <x:f>'02_Raw_NISA'!C6</x:f>
        <x:v>5.13</x:v>
      </x:c>
      <x:c r="F6" s="42"/>
      <x:c r="G6" s="46"/>
      <x:c r="H6" s="50" t="n">
        <x:f>'02_Raw_NISA'!D6</x:f>
        <x:v>1.8258</x:v>
      </x:c>
      <x:c r="I6" s="51"/>
      <x:c r="J6" s="42"/>
      <x:c r="K6" s="56"/>
      <x:c r="L6" s="36" t="str">
        <x:f>'02_Raw_NISA'!G6</x:f>
        <x:v>Old NISA</x:v>
      </x:c>
    </x:row>
    <x:row r="7" ht="15" hidden="0" customHeight="1">
      <x:c r="A7" s="36" t="n">
        <x:f>'02_Raw_NISA'!A7</x:f>
        <x:v>2015</x:v>
      </x:c>
      <x:c r="B7" s="40" t="n">
        <x:f>'02_Raw_NISA'!B7</x:f>
        <x:v>9.88</x:v>
      </x:c>
      <x:c r="C7" s="43" t="n">
        <x:f>B7/B6-1</x:f>
        <x:v>0.19757575757575774</x:v>
      </x:c>
      <x:c r="D7" s="47" t="n">
        <x:f>B7-B6</x:f>
        <x:v>1.6300000000000008</x:v>
      </x:c>
      <x:c r="E7" s="40" t="n">
        <x:f>'02_Raw_NISA'!C7</x:f>
        <x:v>5.9</x:v>
      </x:c>
      <x:c r="F7" s="43" t="n">
        <x:f>E7/E6-1</x:f>
        <x:v>0.15009746588693962</x:v>
      </x:c>
      <x:c r="G7" s="47" t="n">
        <x:f>E7-E6</x:f>
        <x:v>0.7700000000000005</x:v>
      </x:c>
      <x:c r="H7" s="50" t="n">
        <x:f>'02_Raw_NISA'!D7</x:f>
        <x:v>3.9907</x:v>
      </x:c>
      <x:c r="I7" s="52" t="n">
        <x:f>H7-H6</x:f>
        <x:v>2.1649</x:v>
      </x:c>
      <x:c r="J7" s="43"/>
      <x:c r="K7" s="57" t="n">
        <x:f>I7*1000000/E7</x:f>
        <x:v>366932.2033898305</x:v>
      </x:c>
      <x:c r="L7" s="36" t="str">
        <x:f>'02_Raw_NISA'!G7</x:f>
        <x:v>Old NISA</x:v>
      </x:c>
    </x:row>
    <x:row r="8" ht="15" hidden="0" customHeight="1">
      <x:c r="A8" s="36" t="n">
        <x:f>'02_Raw_NISA'!A8</x:f>
        <x:v>2016</x:v>
      </x:c>
      <x:c r="B8" s="40" t="n">
        <x:f>'02_Raw_NISA'!B8</x:f>
        <x:v>10.61</x:v>
      </x:c>
      <x:c r="C8" s="43" t="n">
        <x:f>B8/B7-1</x:f>
        <x:v>0.07388663967611331</x:v>
      </x:c>
      <x:c r="D8" s="47" t="n">
        <x:f>B8-B7</x:f>
        <x:v>0.7299999999999986</x:v>
      </x:c>
      <x:c r="E8" s="40" t="n">
        <x:f>'02_Raw_NISA'!C8</x:f>
        <x:v>6.28</x:v>
      </x:c>
      <x:c r="F8" s="43" t="n">
        <x:f>E8/E7-1</x:f>
        <x:v>0.06440677966101682</x:v>
      </x:c>
      <x:c r="G8" s="47" t="n">
        <x:f>E8-E7</x:f>
        <x:v>0.3799999999999999</x:v>
      </x:c>
      <x:c r="H8" s="50" t="n">
        <x:f>'02_Raw_NISA'!D8</x:f>
        <x:v>5.9602</x:v>
      </x:c>
      <x:c r="I8" s="52" t="n">
        <x:f>H8-H7</x:f>
        <x:v>1.9695000000000005</x:v>
      </x:c>
      <x:c r="J8" s="43" t="n">
        <x:f>I8/I7-1</x:f>
        <x:v>-0.09025821054090233</x:v>
      </x:c>
      <x:c r="K8" s="57" t="n">
        <x:f>I8*1000000/E8</x:f>
        <x:v>313614.64968152874</x:v>
      </x:c>
      <x:c r="L8" s="36" t="str">
        <x:f>'02_Raw_NISA'!G8</x:f>
        <x:v>Old NISA</x:v>
      </x:c>
    </x:row>
    <x:row r="9" ht="15" hidden="0" customHeight="1">
      <x:c r="A9" s="36" t="n">
        <x:f>'02_Raw_NISA'!A9</x:f>
        <x:v>2017</x:v>
      </x:c>
      <x:c r="B9" s="40" t="n">
        <x:f>'02_Raw_NISA'!B9</x:f>
        <x:v>10.99</x:v>
      </x:c>
      <x:c r="C9" s="43" t="n">
        <x:f>B9/B8-1</x:f>
        <x:v>0.035815268614514784</x:v>
      </x:c>
      <x:c r="D9" s="47" t="n">
        <x:f>B9-B8</x:f>
        <x:v>0.3800000000000008</x:v>
      </x:c>
      <x:c r="E9" s="40" t="n">
        <x:f>'02_Raw_NISA'!C9</x:f>
        <x:v>6.48</x:v>
      </x:c>
      <x:c r="F9" s="43" t="n">
        <x:f>E9/E8-1</x:f>
        <x:v>0.031847133757961776</x:v>
      </x:c>
      <x:c r="G9" s="47" t="n">
        <x:f>E9-E8</x:f>
        <x:v>0.20000000000000018</x:v>
      </x:c>
      <x:c r="H9" s="50" t="n">
        <x:f>'02_Raw_NISA'!D9</x:f>
        <x:v>8.0239</x:v>
      </x:c>
      <x:c r="I9" s="52" t="n">
        <x:f>H9-H8</x:f>
        <x:v>2.063699999999999</x:v>
      </x:c>
      <x:c r="J9" s="43" t="n">
        <x:f>I9/I8-1</x:f>
        <x:v>0.0478293983244471</x:v>
      </x:c>
      <x:c r="K9" s="57" t="n">
        <x:f>I9*1000000/E9</x:f>
        <x:v>318472.2222222221</x:v>
      </x:c>
      <x:c r="L9" s="36" t="str">
        <x:f>'02_Raw_NISA'!G9</x:f>
        <x:v>Old NISA</x:v>
      </x:c>
    </x:row>
    <x:row r="10" ht="15" hidden="0" customHeight="1">
      <x:c r="A10" s="36" t="n">
        <x:f>'02_Raw_NISA'!A10</x:f>
        <x:v>2018</x:v>
      </x:c>
      <x:c r="B10" s="40" t="n">
        <x:f>'02_Raw_NISA'!B10</x:f>
        <x:v>12.54</x:v>
      </x:c>
      <x:c r="C10" s="43" t="n">
        <x:f>B10/B9-1</x:f>
        <x:v>0.141037306642402</x:v>
      </x:c>
      <x:c r="D10" s="47" t="n">
        <x:f>B10-B9</x:f>
        <x:v>1.549999999999999</x:v>
      </x:c>
      <x:c r="E10" s="40" t="n">
        <x:f>'02_Raw_NISA'!C10</x:f>
        <x:v>7.33</x:v>
      </x:c>
      <x:c r="F10" s="43" t="n">
        <x:f>E10/E9-1</x:f>
        <x:v>0.13117283950617287</x:v>
      </x:c>
      <x:c r="G10" s="47" t="n">
        <x:f>E10-E9</x:f>
        <x:v>0.8499999999999996</x:v>
      </x:c>
      <x:c r="H10" s="50" t="n">
        <x:f>'02_Raw_NISA'!D10</x:f>
        <x:v>10.231</x:v>
      </x:c>
      <x:c r="I10" s="52" t="n">
        <x:f>H10-H9</x:f>
        <x:v>2.2071000000000005</x:v>
      </x:c>
      <x:c r="J10" s="43" t="n">
        <x:f>I10/I9-1</x:f>
        <x:v>0.06948684401802674</x:v>
      </x:c>
      <x:c r="K10" s="57" t="n">
        <x:f>I10*1000000/E10</x:f>
        <x:v>301105.04774897685</x:v>
      </x:c>
      <x:c r="L10" s="36" t="str">
        <x:f>'02_Raw_NISA'!G10</x:f>
        <x:v>Old NISA</x:v>
      </x:c>
    </x:row>
    <x:row r="11" ht="15" hidden="0" customHeight="1">
      <x:c r="A11" s="36" t="n">
        <x:f>'02_Raw_NISA'!A11</x:f>
        <x:v>2019</x:v>
      </x:c>
      <x:c r="B11" s="40" t="n">
        <x:f>'02_Raw_NISA'!B11</x:f>
        <x:v>13.64</x:v>
      </x:c>
      <x:c r="C11" s="43" t="n">
        <x:f>B11/B10-1</x:f>
        <x:v>0.08771929824561409</x:v>
      </x:c>
      <x:c r="D11" s="47" t="n">
        <x:f>B11-B10</x:f>
        <x:v>1.1000000000000014</x:v>
      </x:c>
      <x:c r="E11" s="40" t="n">
        <x:f>'02_Raw_NISA'!C11</x:f>
        <x:v>7.93</x:v>
      </x:c>
      <x:c r="F11" s="43" t="n">
        <x:f>E11/E10-1</x:f>
        <x:v>0.08185538881309684</x:v>
      </x:c>
      <x:c r="G11" s="47" t="n">
        <x:f>E11-E10</x:f>
        <x:v>0.5999999999999996</x:v>
      </x:c>
      <x:c r="H11" s="50" t="n">
        <x:f>'02_Raw_NISA'!D11</x:f>
        <x:v>11.8682</x:v>
      </x:c>
      <x:c r="I11" s="52" t="n">
        <x:f>H11-H10</x:f>
        <x:v>1.6372</x:v>
      </x:c>
      <x:c r="J11" s="43" t="n">
        <x:f>I11/I10-1</x:f>
        <x:v>-0.2582121335689368</x:v>
      </x:c>
      <x:c r="K11" s="57" t="n">
        <x:f>I11*1000000/E11</x:f>
        <x:v>206456.49432534678</x:v>
      </x:c>
      <x:c r="L11" s="36" t="str">
        <x:f>'02_Raw_NISA'!G11</x:f>
        <x:v>Old NISA</x:v>
      </x:c>
    </x:row>
    <x:row r="12" ht="15" hidden="0" customHeight="1">
      <x:c r="A12" s="36" t="n">
        <x:f>'02_Raw_NISA'!A12</x:f>
        <x:v>2020</x:v>
      </x:c>
      <x:c r="B12" s="40" t="n">
        <x:f>'02_Raw_NISA'!B12</x:f>
        <x:v>15.23</x:v>
      </x:c>
      <x:c r="C12" s="43" t="n">
        <x:f>B12/B11-1</x:f>
        <x:v>0.11656891495601163</x:v>
      </x:c>
      <x:c r="D12" s="47" t="n">
        <x:f>B12-B11</x:f>
        <x:v>1.5899999999999999</x:v>
      </x:c>
      <x:c r="E12" s="40" t="n">
        <x:f>'02_Raw_NISA'!C12</x:f>
        <x:v>9.1</x:v>
      </x:c>
      <x:c r="F12" s="43" t="n">
        <x:f>E12/E11-1</x:f>
        <x:v>0.14754098360655732</x:v>
      </x:c>
      <x:c r="G12" s="47" t="n">
        <x:f>E12-E11</x:f>
        <x:v>1.17</x:v>
      </x:c>
      <x:c r="H12" s="50" t="n">
        <x:f>'02_Raw_NISA'!D12</x:f>
        <x:v>14.1129</x:v>
      </x:c>
      <x:c r="I12" s="52" t="n">
        <x:f>H12-H11</x:f>
        <x:v>2.2447</x:v>
      </x:c>
      <x:c r="J12" s="43" t="n">
        <x:f>I12/I11-1</x:f>
        <x:v>0.3710603469337894</x:v>
      </x:c>
      <x:c r="K12" s="57" t="n">
        <x:f>I12*1000000/E12</x:f>
        <x:v>246670.32967032967</x:v>
      </x:c>
      <x:c r="L12" s="36" t="str">
        <x:f>'02_Raw_NISA'!G12</x:f>
        <x:v>Old NISA</x:v>
      </x:c>
    </x:row>
    <x:row r="13" ht="15" hidden="0" customHeight="1">
      <x:c r="A13" s="36" t="n">
        <x:f>'02_Raw_NISA'!A13</x:f>
        <x:v>2021</x:v>
      </x:c>
      <x:c r="B13" s="40" t="n">
        <x:f>'02_Raw_NISA'!B13</x:f>
        <x:v>17.65</x:v>
      </x:c>
      <x:c r="C13" s="43" t="n">
        <x:f>B13/B12-1</x:f>
        <x:v>0.15889691398555472</x:v>
      </x:c>
      <x:c r="D13" s="47" t="n">
        <x:f>B13-B12</x:f>
        <x:v>2.419999999999998</x:v>
      </x:c>
      <x:c r="E13" s="40" t="n">
        <x:f>'02_Raw_NISA'!C13</x:f>
        <x:v>11.05</x:v>
      </x:c>
      <x:c r="F13" s="43" t="n">
        <x:f>E13/E12-1</x:f>
        <x:v>0.2142857142857144</x:v>
      </x:c>
      <x:c r="G13" s="47" t="n">
        <x:f>E13-E12</x:f>
        <x:v>1.950000000000001</x:v>
      </x:c>
      <x:c r="H13" s="50" t="n">
        <x:f>'02_Raw_NISA'!D13</x:f>
        <x:v>16.9914</x:v>
      </x:c>
      <x:c r="I13" s="52" t="n">
        <x:f>H13-H12</x:f>
        <x:v>2.878499999999999</x:v>
      </x:c>
      <x:c r="J13" s="43" t="n">
        <x:f>I13/I12-1</x:f>
        <x:v>0.28235398939724643</x:v>
      </x:c>
      <x:c r="K13" s="57" t="n">
        <x:f>I13*1000000/E13</x:f>
        <x:v>260497.73755656098</x:v>
      </x:c>
      <x:c r="L13" s="36" t="str">
        <x:f>'02_Raw_NISA'!G13</x:f>
        <x:v>Old NISA</x:v>
      </x:c>
    </x:row>
    <x:row r="14" ht="15" hidden="0" customHeight="1">
      <x:c r="A14" s="36" t="n">
        <x:f>'02_Raw_NISA'!A14</x:f>
        <x:v>2022</x:v>
      </x:c>
      <x:c r="B14" s="40" t="n">
        <x:f>'02_Raw_NISA'!B14</x:f>
        <x:v>18.01</x:v>
      </x:c>
      <x:c r="C14" s="43" t="n">
        <x:f>B14/B13-1</x:f>
        <x:v>0.02039660056657233</x:v>
      </x:c>
      <x:c r="D14" s="47" t="n">
        <x:f>B14-B13</x:f>
        <x:v>0.360000000000003</x:v>
      </x:c>
      <x:c r="E14" s="40" t="n">
        <x:f>'02_Raw_NISA'!C14</x:f>
        <x:v>11.74</x:v>
      </x:c>
      <x:c r="F14" s="43" t="n">
        <x:f>E14/E13-1</x:f>
        <x:v>0.06244343891402715</x:v>
      </x:c>
      <x:c r="G14" s="47" t="n">
        <x:f>E14-E13</x:f>
        <x:v>0.6899999999999995</x:v>
      </x:c>
      <x:c r="H14" s="50" t="n">
        <x:f>'02_Raw_NISA'!D14</x:f>
        <x:v>20.1969</x:v>
      </x:c>
      <x:c r="I14" s="52" t="n">
        <x:f>H14-H13</x:f>
        <x:v>3.2055000000000007</x:v>
      </x:c>
      <x:c r="J14" s="43" t="n">
        <x:f>I14/I13-1</x:f>
        <x:v>0.113600833767588</x:v>
      </x:c>
      <x:c r="K14" s="57" t="n">
        <x:f>I14*1000000/E14</x:f>
        <x:v>273040.8858603067</x:v>
      </x:c>
      <x:c r="L14" s="36" t="str">
        <x:f>'02_Raw_NISA'!G14</x:f>
        <x:v>Old NISA</x:v>
      </x:c>
    </x:row>
    <x:row r="15" ht="15" hidden="0" customHeight="1">
      <x:c r="A15" s="36" t="n">
        <x:f>'02_Raw_NISA'!A15</x:f>
        <x:v>2023</x:v>
      </x:c>
      <x:c r="B15" s="40" t="n">
        <x:f>'02_Raw_NISA'!B15</x:f>
        <x:v>21.25</x:v>
      </x:c>
      <x:c r="C15" s="43" t="n">
        <x:f>B15/B14-1</x:f>
        <x:v>0.17990005552470834</x:v>
      </x:c>
      <x:c r="D15" s="47" t="n">
        <x:f>B15-B14</x:f>
        <x:v>3.2399999999999984</x:v>
      </x:c>
      <x:c r="E15" s="40" t="n">
        <x:f>'02_Raw_NISA'!C15</x:f>
        <x:v>14.28</x:v>
      </x:c>
      <x:c r="F15" s="43" t="n">
        <x:f>E15/E14-1</x:f>
        <x:v>0.21635434412265742</x:v>
      </x:c>
      <x:c r="G15" s="47" t="n">
        <x:f>E15-E14</x:f>
        <x:v>2.539999999999999</x:v>
      </x:c>
      <x:c r="H15" s="50" t="n">
        <x:f>'02_Raw_NISA'!D15</x:f>
        <x:v>24.0457</x:v>
      </x:c>
      <x:c r="I15" s="52" t="n">
        <x:f>H15-H14</x:f>
        <x:v>3.8488000000000007</x:v>
      </x:c>
      <x:c r="J15" s="43" t="n">
        <x:f>I15/I14-1</x:f>
        <x:v>0.20068632038683498</x:v>
      </x:c>
      <x:c r="K15" s="57" t="n">
        <x:f>I15*1000000/E15</x:f>
        <x:v>269523.8095238096</x:v>
      </x:c>
      <x:c r="L15" s="36" t="str">
        <x:f>'02_Raw_NISA'!G15</x:f>
        <x:v>Old NISA</x:v>
      </x:c>
    </x:row>
    <x:row r="16" ht="15" hidden="0" customHeight="1">
      <x:c r="A16" s="36" t="n">
        <x:f>'02_Raw_NISA'!A16</x:f>
        <x:v>2024</x:v>
      </x:c>
      <x:c r="B16" s="40" t="n">
        <x:f>'02_Raw_NISA'!B16</x:f>
        <x:v>25.59</x:v>
      </x:c>
      <x:c r="C16" s="43" t="n">
        <x:f>B16/B15-1</x:f>
        <x:v>0.20423529411764707</x:v>
      </x:c>
      <x:c r="D16" s="47" t="n">
        <x:f>B16-B15</x:f>
        <x:v>4.34</x:v>
      </x:c>
      <x:c r="E16" s="40" t="n">
        <x:f>'02_Raw_NISA'!C16</x:f>
        <x:v>18.03</x:v>
      </x:c>
      <x:c r="F16" s="43" t="n">
        <x:f>E16/E15-1</x:f>
        <x:v>0.2626050420168069</x:v>
      </x:c>
      <x:c r="G16" s="47" t="n">
        <x:f>E16-E15</x:f>
        <x:v>3.7500000000000018</x:v>
      </x:c>
      <x:c r="H16" s="50" t="n">
        <x:f>'02_Raw_NISA'!D16</x:f>
        <x:v>38.0904</x:v>
      </x:c>
      <x:c r="I16" s="52" t="n">
        <x:f>H16-H15</x:f>
        <x:v>14.044700000000002</x:v>
      </x:c>
      <x:c r="J16" s="43" t="n">
        <x:f>I16/I15-1</x:f>
        <x:v>2.6491114113489918</x:v>
      </x:c>
      <x:c r="K16" s="57" t="n">
        <x:f>I16*1000000/E16</x:f>
        <x:v>778962.8397115918</x:v>
      </x:c>
      <x:c r="L16" s="36" t="str">
        <x:f>'02_Raw_NISA'!G16</x:f>
        <x:v>New NISA</x:v>
      </x:c>
    </x:row>
    <x:row r="17" ht="15" hidden="0" customHeight="1">
      <x:c r="A17" s="36" t="n">
        <x:f>'02_Raw_NISA'!A17</x:f>
        <x:v>2025</x:v>
      </x:c>
      <x:c r="B17" s="40" t="n">
        <x:f>'02_Raw_NISA'!B17</x:f>
        <x:v>28.21</x:v>
      </x:c>
      <x:c r="C17" s="43" t="n">
        <x:f>B17/B16-1</x:f>
        <x:v>0.10238374364986336</x:v>
      </x:c>
      <x:c r="D17" s="47" t="n">
        <x:f>B17-B16</x:f>
        <x:v>2.620000000000001</x:v>
      </x:c>
      <x:c r="E17" s="40" t="n">
        <x:f>'02_Raw_NISA'!C17</x:f>
        <x:v>20.25</x:v>
      </x:c>
      <x:c r="F17" s="43" t="n">
        <x:f>E17/E16-1</x:f>
        <x:v>0.12312811980033267</x:v>
      </x:c>
      <x:c r="G17" s="47" t="n">
        <x:f>E17-E16</x:f>
        <x:v>2.219999999999999</x:v>
      </x:c>
      <x:c r="H17" s="50" t="str">
        <x:f>IF('02_Raw_NISA'!D17=0,"",'02_Raw_NISA'!D17)</x:f>
      </x:c>
      <x:c r="I17" s="52" t="n">
        <x:f>'02_Raw_NISA'!E25</x:f>
        <x:v>15.354</x:v>
      </x:c>
      <x:c r="J17" s="43" t="n">
        <x:f>I17/I16-1</x:f>
        <x:v>0.09322377836479223</x:v>
      </x:c>
      <x:c r="K17" s="57" t="n">
        <x:f>I17*1000000/E17</x:f>
        <x:v>758222.2222222222</x:v>
      </x:c>
      <x:c r="L17" s="36" t="str">
        <x:f>'02_Raw_NISA'!G17</x:f>
        <x:v>New NISA</x:v>
      </x:c>
    </x:row>
    <x:row r="18"/>
    <x:row r="19"/>
    <x:row r="20" ht="15" hidden="0" customHeight="1">
      <x:c r="A20" s="22" t="str">
        <x:v>B. Pre/post-2024 tests</x:v>
      </x:c>
      <x:c r="B20" s="22"/>
      <x:c r="C20" s="22"/>
      <x:c r="D20" s="22"/>
      <x:c r="E20" s="22"/>
      <x:c r="F20" s="22"/>
      <x:c r="G20" s="22"/>
    </x:row>
    <x:row r="21" ht="15" hidden="0" customHeight="1">
      <x:c r="A21" s="16" t="str">
        <x:v>Metric</x:v>
      </x:c>
      <x:c r="B21" s="16" t="str">
        <x:v>Definition</x:v>
      </x:c>
      <x:c r="C21" s="16" t="str">
        <x:v>Value</x:v>
      </x:c>
      <x:c r="D21" s="16" t="str">
        <x:v>Unit</x:v>
      </x:c>
      <x:c r="E21" s="16" t="str">
        <x:v>Interpretation</x:v>
      </x:c>
      <x:c r="F21" s="16" t="str">
        <x:v>Source / Range</x:v>
      </x:c>
      <x:c r="G21" s="16" t="str">
        <x:v>Causality Note</x:v>
      </x:c>
    </x:row>
    <x:row r="22" ht="15" hidden="0" customHeight="1">
      <x:c r="A22" t="str">
        <x:v>Pre-2024 avg all-account growth</x:v>
      </x:c>
      <x:c r="B22" t="str">
        <x:v>Average YoY growth, 2020-2023</x:v>
      </x:c>
      <x:c r="C22" s="43" t="n">
        <x:f>AVERAGE(C12:C15)</x:f>
        <x:v>0.11894062125821175</x:v>
      </x:c>
      <x:c r="D22" t="str">
        <x:v>%</x:v>
      </x:c>
      <x:c r="E22" t="str">
        <x:v>Recent participation baseline</x:v>
      </x:c>
      <x:c r="F22" t="str">
        <x:v>C12:C15</x:v>
      </x:c>
      <x:c r="G22" t="str">
        <x:v>Descriptive benchmark.</x:v>
      </x:c>
    </x:row>
    <x:row r="23" ht="15" hidden="0" customHeight="1">
      <x:c r="A23" t="str">
        <x:v>2024 all-account growth</x:v>
      </x:c>
      <x:c r="B23" t="str">
        <x:v>2024 / 2023 - 1</x:v>
      </x:c>
      <x:c r="C23" s="43" t="n">
        <x:f>C16</x:f>
        <x:v>0.20423529411764707</x:v>
      </x:c>
      <x:c r="D23" t="str">
        <x:v>%</x:v>
      </x:c>
      <x:c r="E23" t="str">
        <x:v>First post-reform year</x:v>
      </x:c>
      <x:c r="F23" t="str">
        <x:v>C16</x:v>
      </x:c>
      <x:c r="G23" t="str">
        <x:v>Association.</x:v>
      </x:c>
    </x:row>
    <x:row r="24" ht="15" hidden="0" customHeight="1">
      <x:c r="A24" t="str">
        <x:v>All-account acceleration</x:v>
      </x:c>
      <x:c r="B24" t="str">
        <x:v>2024 growth - pre avg</x:v>
      </x:c>
      <x:c r="C24" s="60" t="n">
        <x:f>C23-C22</x:f>
        <x:v>0.08529467285943532</x:v>
      </x:c>
      <x:c r="D24" t="str">
        <x:v>pp</x:v>
      </x:c>
      <x:c r="E24" t="str">
        <x:v>Increment over recent trend</x:v>
      </x:c>
      <x:c r="F24" t="str">
        <x:v>Calculated</x:v>
      </x:c>
      <x:c r="G24" t="str">
        <x:v>Association.</x:v>
      </x:c>
    </x:row>
    <x:row r="25" ht="15" hidden="0" customHeight="1">
      <x:c r="A25" t="str">
        <x:v>Pre-2024 avg securities-account growth</x:v>
      </x:c>
      <x:c r="B25" t="str">
        <x:v>Average YoY growth, 2020-2023</x:v>
      </x:c>
      <x:c r="C25" s="43" t="n">
        <x:f>AVERAGE(F12:F15)</x:f>
        <x:v>0.16015612023223907</x:v>
      </x:c>
      <x:c r="D25" t="str">
        <x:v>%</x:v>
      </x:c>
      <x:c r="E25" t="str">
        <x:v>Brokerage baseline</x:v>
      </x:c>
      <x:c r="F25" t="str">
        <x:v>F12:F15</x:v>
      </x:c>
      <x:c r="G25" t="str">
        <x:v>Descriptive.</x:v>
      </x:c>
    </x:row>
    <x:row r="26" ht="15" hidden="0" customHeight="1">
      <x:c r="A26" t="str">
        <x:v>2024 securities-account growth</x:v>
      </x:c>
      <x:c r="B26" t="str">
        <x:v>2024 / 2023 - 1</x:v>
      </x:c>
      <x:c r="C26" s="43" t="n">
        <x:f>F16</x:f>
        <x:v>0.2626050420168069</x:v>
      </x:c>
      <x:c r="D26" t="str">
        <x:v>%</x:v>
      </x:c>
      <x:c r="E26" t="str">
        <x:v>First post-reform year</x:v>
      </x:c>
      <x:c r="F26" t="str">
        <x:v>F16</x:v>
      </x:c>
      <x:c r="G26" t="str">
        <x:v>Association.</x:v>
      </x:c>
    </x:row>
    <x:row r="27" ht="15" hidden="0" customHeight="1">
      <x:c r="A27" t="str">
        <x:v>Securities-account acceleration</x:v>
      </x:c>
      <x:c r="B27" t="str">
        <x:v>2024 growth - pre avg</x:v>
      </x:c>
      <x:c r="C27" s="60" t="n">
        <x:f>C26-C25</x:f>
        <x:v>0.10244892178456783</x:v>
      </x:c>
      <x:c r="D27" t="str">
        <x:v>pp</x:v>
      </x:c>
      <x:c r="E27" t="str">
        <x:v>Increment over recent trend</x:v>
      </x:c>
      <x:c r="F27" t="str">
        <x:v>Calculated</x:v>
      </x:c>
      <x:c r="G27" t="str">
        <x:v>Association.</x:v>
      </x:c>
    </x:row>
    <x:row r="28" ht="15" hidden="0" customHeight="1">
      <x:c r="A28" t="str">
        <x:v>Avg securities annual purchases 2019-2023</x:v>
      </x:c>
      <x:c r="B28" t="str">
        <x:v>Mean annual purchase flow</x:v>
      </x:c>
      <x:c r="C28" s="52" t="n">
        <x:f>AVERAGE(I11:I15)</x:f>
        <x:v>2.76294</x:v>
      </x:c>
      <x:c r="D28" t="str">
        <x:v>¥tn</x:v>
      </x:c>
      <x:c r="E28" t="str">
        <x:v>Pre-reform purchase baseline</x:v>
      </x:c>
      <x:c r="F28" t="str">
        <x:v>I11:I15</x:v>
      </x:c>
      <x:c r="G28" t="str">
        <x:v>Old annual limits were lower.</x:v>
      </x:c>
    </x:row>
    <x:row r="29" ht="15" hidden="0" customHeight="1">
      <x:c r="A29" t="str">
        <x:v>2024 securities annual purchases</x:v>
      </x:c>
      <x:c r="B29" t="str">
        <x:v>Final annual flow</x:v>
      </x:c>
      <x:c r="C29" s="52" t="n">
        <x:f>I16</x:f>
        <x:v>14.044700000000002</x:v>
      </x:c>
      <x:c r="D29" t="str">
        <x:v>¥tn</x:v>
      </x:c>
      <x:c r="E29" t="str">
        <x:v>First post-reform flow</x:v>
      </x:c>
      <x:c r="F29" t="str">
        <x:v>I16</x:v>
      </x:c>
      <x:c r="G29" t="str">
        <x:v>Higher limits mechanically matter.</x:v>
      </x:c>
    </x:row>
    <x:row r="30" ht="15" hidden="0" customHeight="1">
      <x:c r="A30" t="str">
        <x:v>2024 purchases / 2019-23 avg</x:v>
      </x:c>
      <x:c r="B30" t="str">
        <x:v>2024 / baseline avg</x:v>
      </x:c>
      <x:c r="C30" s="62" t="n">
        <x:f>C29/C28</x:f>
        <x:v>5.083244659674116</x:v>
      </x:c>
      <x:c r="D30" t="str">
        <x:v>x</x:v>
      </x:c>
      <x:c r="E30" t="str">
        <x:v>Scale of purchase break</x:v>
      </x:c>
      <x:c r="F30" t="str">
        <x:v>Calculated</x:v>
      </x:c>
      <x:c r="G30" t="str">
        <x:v>Descriptive.</x:v>
      </x:c>
    </x:row>
    <x:row r="31" ht="15" hidden="0" customHeight="1">
      <x:c r="A31" t="str">
        <x:v>2023-&gt;2024 securities purchase growth</x:v>
      </x:c>
      <x:c r="B31" t="str">
        <x:v>2024 / 2023 - 1</x:v>
      </x:c>
      <x:c r="C31" s="43" t="n">
        <x:f>J16</x:f>
        <x:v>2.6491114113489918</x:v>
      </x:c>
      <x:c r="D31" t="str">
        <x:v>%</x:v>
      </x:c>
      <x:c r="E31" t="str">
        <x:v>Launch-year change</x:v>
      </x:c>
      <x:c r="F31" t="str">
        <x:v>J16</x:v>
      </x:c>
      <x:c r="G31" t="str">
        <x:v>Descriptive.</x:v>
      </x:c>
    </x:row>
    <x:row r="32" ht="15" hidden="0" customHeight="1">
      <x:c r="A32" t="str">
        <x:v>2024-&gt;2025 securities purchase growth</x:v>
      </x:c>
      <x:c r="B32" t="str">
        <x:v>2025 / 2024 - 1</x:v>
      </x:c>
      <x:c r="C32" s="43" t="n">
        <x:f>J17</x:f>
        <x:v>0.09322377836479223</x:v>
      </x:c>
      <x:c r="D32" t="str">
        <x:v>%</x:v>
      </x:c>
      <x:c r="E32" t="str">
        <x:v>Second-year persistence</x:v>
      </x:c>
      <x:c r="F32" t="str">
        <x:v>J17</x:v>
      </x:c>
      <x:c r="G32" t="str">
        <x:v>Descriptive.</x:v>
      </x:c>
    </x:row>
    <x:row r="33" ht="15" hidden="0" customHeight="1">
      <x:c r="A33" t="str">
        <x:v>2023-&gt;2025 all-account growth</x:v>
      </x:c>
      <x:c r="B33" t="str">
        <x:v>2025 / 2023 - 1</x:v>
      </x:c>
      <x:c r="C33" s="43" t="n">
        <x:f>B17/B15-1</x:f>
        <x:v>0.32752941176470585</x:v>
      </x:c>
      <x:c r="D33" t="str">
        <x:v>%</x:v>
      </x:c>
      <x:c r="E33" t="str">
        <x:v>Two-year expansion</x:v>
      </x:c>
      <x:c r="F33" t="str">
        <x:v>Calculated</x:v>
      </x:c>
      <x:c r="G33" t="str">
        <x:v>Descriptive.</x:v>
      </x:c>
    </x:row>
    <x:row r="34" ht="15" hidden="0" customHeight="1">
      <x:c r="A34" t="str">
        <x:v>2023-&gt;2025 securities-account growth</x:v>
      </x:c>
      <x:c r="B34" t="str">
        <x:v>2025 / 2023 - 1</x:v>
      </x:c>
      <x:c r="C34" s="43" t="n">
        <x:f>E17/E15-1</x:f>
        <x:v>0.41806722689075637</x:v>
      </x:c>
      <x:c r="D34" t="str">
        <x:v>%</x:v>
      </x:c>
      <x:c r="E34" t="str">
        <x:v>Two-year brokerage expansion</x:v>
      </x:c>
      <x:c r="F34" t="str">
        <x:v>Calculated</x:v>
      </x:c>
      <x:c r="G34" t="str">
        <x:v>Descriptive.</x:v>
      </x:c>
    </x:row>
    <x:row r="35"/>
    <x:row r="36"/>
    <x:row r="37" ht="15" hidden="0" customHeight="1">
      <x:c r="A37" s="22" t="str">
        <x:v>C. Research hypotheses</x:v>
      </x:c>
      <x:c r="B37" s="22"/>
      <x:c r="C37" s="22"/>
      <x:c r="D37" s="22"/>
      <x:c r="E37" s="22"/>
      <x:c r="F37" s="22"/>
      <x:c r="G37" s="22"/>
    </x:row>
    <x:row r="38" ht="15" hidden="0" customHeight="1">
      <x:c r="A38" s="16" t="str">
        <x:v>Hypothesis</x:v>
      </x:c>
      <x:c r="B38" s="16" t="str">
        <x:v>Status</x:v>
      </x:c>
      <x:c r="C38" s="16" t="str">
        <x:v>Evidence</x:v>
      </x:c>
      <x:c r="D38" s="16" t="str">
        <x:v>Supported Conclusion</x:v>
      </x:c>
      <x:c r="E38" s="16" t="str">
        <x:v>Not Established</x:v>
      </x:c>
      <x:c r="F38" s="16" t="str">
        <x:v>Source IDs</x:v>
      </x:c>
      <x:c r="G38" s="16" t="str">
        <x:v>Confidence</x:v>
      </x:c>
    </x:row>
    <x:row r="39" ht="118.80000305175781" hidden="0" customHeight="1">
      <x:c r="A39" s="18" t="str">
        <x:v>H1: 2024 expansion associated with significant acceleration</x:v>
      </x:c>
      <x:c r="B39" s="18" t="str">
        <x:v>SUPPORTED</x:v>
      </x:c>
      <x:c r="C39" s="18" t="str">
        <x:v>All accounts, securities accounts and securities purchase flows accelerated sharply in 2024; 2025 remained elevated.</x:v>
      </x:c>
      <x:c r="D39" s="18" t="str">
        <x:v>Clear structural break in measured use around 2024.</x:v>
      </x:c>
      <x:c r="E39" s="18" t="str">
        <x:v>Pure causal effect attributable only to NISA.</x:v>
      </x:c>
      <x:c r="F39" s="18" t="str">
        <x:v>S01-S07;S17-S21</x:v>
      </x:c>
      <x:c r="G39" s="18" t="str">
        <x:v>High descriptively</x:v>
      </x:c>
    </x:row>
    <x:row r="40" ht="92.4000015258789" hidden="0" customHeight="1">
      <x:c r="A40" s="18" t="str">
        <x:v>H2: Younger investors increased proportionally more</x:v>
      </x:c>
      <x:c r="B40" s="18" t="str">
        <x:v>SUPPORTED WITH QUALIFICATION</x:v>
      </x:c>
      <x:c r="C40" s="18" t="str">
        <x:v>&lt;=20s had fastest 2023-24 account growth; 30s had highest 2025 penetration; 50s also grew strongly.</x:v>
      </x:c>
      <x:c r="D40" s="18" t="str">
        <x:v>Younger/working-age participation broadened materially.</x:v>
      </x:c>
      <x:c r="E40" s="18" t="str">
        <x:v>Monotonic younger-is-always-faster pattern.</x:v>
      </x:c>
      <x:c r="F40" s="18" t="str">
        <x:v>S04;S05;S08</x:v>
      </x:c>
      <x:c r="G40" s="18" t="str">
        <x:v>High with cohort caveats</x:v>
      </x:c>
    </x:row>
    <x:row r="41" ht="118.80000305175781" hidden="0" customHeight="1">
      <x:c r="A41" s="18" t="str">
        <x:v>H3: Digital/recurring-investment firms benefit most</x:v>
      </x:c>
      <x:c r="B41" s="18" t="str">
        <x:v>SUPPORTED WITH QUALIFICATION</x:v>
      </x:c>
      <x:c r="C41" s="18" t="str">
        <x:v>Rakuten/SBI show direct NISA/customer/fund growth; Nomura/Daiwa show recurring-asset/product-flow benefits.</x:v>
      </x:c>
      <x:c r="D41" s="18" t="str">
        <x:v>Digital distribution and recurring capability are advantaged; incumbents monetize other channels.</x:v>
      </x:c>
      <x:c r="E41" s="18" t="str">
        <x:v>Perfectly comparable cross-firm ranking.</x:v>
      </x:c>
      <x:c r="F41" s="18" t="str">
        <x:v>S22-S31</x:v>
      </x:c>
      <x:c r="G41" s="18" t="str">
        <x:v>Moderate-high</x:v>
      </x:c>
    </x:row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L1"/>
    <x:mergeCell ref="A2:L2"/>
    <x:mergeCell ref="A4:L4"/>
    <x:mergeCell ref="A20:G20"/>
    <x:mergeCell ref="A37:G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7" hidden="0" customWidth="1"/>
    <x:col min="10" max="10" width="35" hidden="0" customWidth="1"/>
    <x:col min="11" max="11" width="15" hidden="0" customWidth="1"/>
    <x:col min="12" max="12" width="18" hidden="0" customWidth="1"/>
    <x:col min="13" max="13" width="42" hidden="0" customWidth="1"/>
  </x:cols>
  <x:sheetData>
    <x:row r="1" ht="19.200000762939453" hidden="0" customHeight="1">
      <x:c r="A1" s="4" t="str">
        <x:v>04_Age_Data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 customHeight="1">
      <x:c r="A2" s="10" t="str">
        <x:v>Age-cohort account growth, direct penetration and purchase behavior. Direct published penetration is preferred whenever available.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/>
    <x:row r="4" ht="15" hidden="0" customHeight="1">
      <x:c r="A4" s="22" t="str">
        <x:v>A. 2023-2025 account growth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5" ht="15" hidden="0" customHeight="1">
      <x:c r="A5" s="16" t="str">
        <x:v>Age Cohort</x:v>
      </x:c>
      <x:c r="B5" s="16" t="str">
        <x:v>2023 Accounts (m)</x:v>
      </x:c>
      <x:c r="C5" s="16" t="str">
        <x:v>2024 Accounts (m)</x:v>
      </x:c>
      <x:c r="D5" s="16" t="str">
        <x:v>23-&gt;24 Growth</x:v>
      </x:c>
      <x:c r="E5" s="16" t="str">
        <x:v>2025 Accounts (m)</x:v>
      </x:c>
      <x:c r="F5" s="16" t="str">
        <x:v>24-&gt;25 Growth</x:v>
      </x:c>
      <x:c r="G5" s="16" t="str">
        <x:v>23-&gt;25 Growth</x:v>
      </x:c>
      <x:c r="H5" s="16" t="str">
        <x:v>2024 Growth Rank</x:v>
      </x:c>
      <x:c r="I5" s="16" t="str">
        <x:v>2025 Growth Rank</x:v>
      </x:c>
      <x:c r="J5" s="16" t="str">
        <x:v>Interpretation</x:v>
      </x:c>
      <x:c r="K5" s="16" t="str">
        <x:v>Source IDs</x:v>
      </x:c>
      <x:c r="L5" s="16" t="str">
        <x:v>Definition</x:v>
      </x:c>
      <x:c r="M5" s="16" t="str">
        <x:v>Caveat</x:v>
      </x:c>
    </x:row>
    <x:row r="6" ht="26.399999618530273" hidden="0" customHeight="1">
      <x:c r="A6" s="36" t="str">
        <x:f>'02_Raw_NISA'!A30</x:f>
        <x:v>&lt;=20s</x:v>
      </x:c>
      <x:c r="B6" s="40" t="n">
        <x:f>'02_Raw_NISA'!B30</x:f>
        <x:v>2.313249</x:v>
      </x:c>
      <x:c r="C6" s="40" t="n">
        <x:f>'02_Raw_NISA'!C30</x:f>
        <x:v>3.069894</x:v>
      </x:c>
      <x:c r="D6" s="43" t="n">
        <x:f>C6/B6-1</x:f>
        <x:v>0.32709189542500616</x:v>
      </x:c>
      <x:c r="E6" s="47" t="n">
        <x:f>'02_Raw_NISA'!D30</x:f>
        <x:v>3.502481</x:v>
      </x:c>
      <x:c r="F6" s="43" t="n">
        <x:f>E6/C6-1</x:f>
        <x:v>0.14091268297863047</x:v>
      </x:c>
      <x:c r="G6" s="43" t="n">
        <x:f>E6/B6-1</x:f>
        <x:v>0.5140959749685399</x:v>
      </x:c>
      <x:c r="H6" s="64" t="n">
        <x:f>RANK(D6,$D$6:$D$12,0)</x:f>
        <x:v>1</x:v>
      </x:c>
      <x:c r="I6" s="64" t="n">
        <x:f>RANK(F6,$F$6:$F$12,0)</x:f>
        <x:v>1</x:v>
      </x:c>
      <x:c r="J6" s="18" t="str">
        <x:v>Fastest 2023-24 growth; strongest launch-year proportional expansion.</x:v>
      </x:c>
      <x:c r="K6" s="18" t="str">
        <x:v>S02;S06;S07</x:v>
      </x:c>
      <x:c r="L6" s="18" t="str">
        <x:v>Merged teens+20s</x:v>
      </x:c>
      <x:c r="M6" s="18" t="str">
        <x:v>2023 source is merged &lt;=20s.</x:v>
      </x:c>
    </x:row>
    <x:row r="7" ht="15" hidden="0" customHeight="1">
      <x:c r="A7" s="36" t="str">
        <x:f>'02_Raw_NISA'!A31</x:f>
        <x:v>30s</x:v>
      </x:c>
      <x:c r="B7" s="40" t="n">
        <x:f>'02_Raw_NISA'!B31</x:f>
        <x:v>3.707521</x:v>
      </x:c>
      <x:c r="C7" s="40" t="n">
        <x:f>'02_Raw_NISA'!C31</x:f>
        <x:v>4.486512</x:v>
      </x:c>
      <x:c r="D7" s="43" t="n">
        <x:f>C7/B7-1</x:f>
        <x:v>0.21011101488029338</x:v>
      </x:c>
      <x:c r="E7" s="47" t="n">
        <x:f>'02_Raw_NISA'!D31</x:f>
        <x:v>4.94569</x:v>
      </x:c>
      <x:c r="F7" s="43" t="n">
        <x:f>E7/C7-1</x:f>
        <x:v>0.10234632159682167</x:v>
      </x:c>
      <x:c r="G7" s="43" t="n">
        <x:f>E7/B7-1</x:f>
        <x:v>0.3339614259770882</x:v>
      </x:c>
      <x:c r="H7" s="64" t="n">
        <x:f>RANK(D7,$D$6:$D$12,0)</x:f>
        <x:v>4</x:v>
      </x:c>
      <x:c r="I7" s="64" t="n">
        <x:f>RANK(F7,$F$6:$F$12,0)</x:f>
        <x:v>4</x:v>
      </x:c>
      <x:c r="J7" s="18" t="str">
        <x:v>Strong growth and highest direct penetration.</x:v>
      </x:c>
      <x:c r="K7" s="18" t="str">
        <x:v>S02;S06;S07</x:v>
      </x:c>
      <x:c r="L7" s="18" t="str">
        <x:v>Decade cohort</x:v>
      </x:c>
      <x:c r="M7" s="18" t="str"/>
    </x:row>
    <x:row r="8" ht="15" hidden="0" customHeight="1">
      <x:c r="A8" s="36" t="str">
        <x:f>'02_Raw_NISA'!A32</x:f>
        <x:v>40s</x:v>
      </x:c>
      <x:c r="B8" s="40" t="n">
        <x:f>'02_Raw_NISA'!B32</x:f>
        <x:v>4.044686</x:v>
      </x:c>
      <x:c r="C8" s="40" t="n">
        <x:f>'02_Raw_NISA'!C32</x:f>
        <x:v>4.923179</x:v>
      </x:c>
      <x:c r="D8" s="43" t="n">
        <x:f>C8/B8-1</x:f>
        <x:v>0.21719683555163516</x:v>
      </x:c>
      <x:c r="E8" s="47" t="n">
        <x:f>'02_Raw_NISA'!D32</x:f>
        <x:v>5.381768</x:v>
      </x:c>
      <x:c r="F8" s="43" t="n">
        <x:f>E8/C8-1</x:f>
        <x:v>0.09314895923954825</x:v>
      </x:c>
      <x:c r="G8" s="43" t="n">
        <x:f>E8/B8-1</x:f>
        <x:v>0.33057745397294136</x:v>
      </x:c>
      <x:c r="H8" s="64" t="n">
        <x:f>RANK(D8,$D$6:$D$12,0)</x:f>
        <x:v>3</x:v>
      </x:c>
      <x:c r="I8" s="64" t="n">
        <x:f>RANK(F8,$F$6:$F$12,0)</x:f>
        <x:v>5</x:v>
      </x:c>
      <x:c r="J8" s="18" t="str">
        <x:v>Broad working-age adoption.</x:v>
      </x:c>
      <x:c r="K8" s="18" t="str">
        <x:v>S02;S06;S07</x:v>
      </x:c>
      <x:c r="L8" s="18" t="str">
        <x:v>Decade cohort</x:v>
      </x:c>
      <x:c r="M8" s="18" t="str"/>
    </x:row>
    <x:row r="9" ht="26.399999618530273" hidden="0" customHeight="1">
      <x:c r="A9" s="36" t="str">
        <x:f>'02_Raw_NISA'!A33</x:f>
        <x:v>50s</x:v>
      </x:c>
      <x:c r="B9" s="40" t="n">
        <x:f>'02_Raw_NISA'!B33</x:f>
        <x:v>3.945129</x:v>
      </x:c>
      <x:c r="C9" s="40" t="n">
        <x:f>'02_Raw_NISA'!C33</x:f>
        <x:v>4.951402</x:v>
      </x:c>
      <x:c r="D9" s="43" t="n">
        <x:f>C9/B9-1</x:f>
        <x:v>0.25506719805613454</x:v>
      </x:c>
      <x:c r="E9" s="47" t="n">
        <x:f>'02_Raw_NISA'!D33</x:f>
        <x:v>5.531813</x:v>
      </x:c>
      <x:c r="F9" s="43" t="n">
        <x:f>E9/C9-1</x:f>
        <x:v>0.11722154654378691</x:v>
      </x:c>
      <x:c r="G9" s="43" t="n">
        <x:f>E9/B9-1</x:f>
        <x:v>0.402188116028652</x:v>
      </x:c>
      <x:c r="H9" s="64" t="n">
        <x:f>RANK(D9,$D$6:$D$12,0)</x:f>
        <x:v>2</x:v>
      </x:c>
      <x:c r="I9" s="64" t="n">
        <x:f>RANK(F9,$F$6:$F$12,0)</x:f>
        <x:v>2</x:v>
      </x:c>
      <x:c r="J9" s="18" t="str">
        <x:v>Second-fastest 2023-24 growth despite being older than 30s/40s.</x:v>
      </x:c>
      <x:c r="K9" s="18" t="str">
        <x:v>S02;S06;S07</x:v>
      </x:c>
      <x:c r="L9" s="18" t="str">
        <x:v>Decade cohort</x:v>
      </x:c>
      <x:c r="M9" s="18" t="str"/>
    </x:row>
    <x:row r="10" ht="15" hidden="0" customHeight="1">
      <x:c r="A10" s="36" t="str">
        <x:f>'02_Raw_NISA'!A34</x:f>
        <x:v>60s</x:v>
      </x:c>
      <x:c r="B10" s="40" t="n">
        <x:f>'02_Raw_NISA'!B34</x:f>
        <x:v>3.188843</x:v>
      </x:c>
      <x:c r="C10" s="40" t="n">
        <x:f>'02_Raw_NISA'!C34</x:f>
        <x:v>3.770942</x:v>
      </x:c>
      <x:c r="D10" s="43" t="n">
        <x:f>C10/B10-1</x:f>
        <x:v>0.1825423829269739</x:v>
      </x:c>
      <x:c r="E10" s="47" t="n">
        <x:f>'02_Raw_NISA'!D34</x:f>
        <x:v>4.175854</x:v>
      </x:c>
      <x:c r="F10" s="43" t="n">
        <x:f>E10/C10-1</x:f>
        <x:v>0.10737688354793051</x:v>
      </x:c>
      <x:c r="G10" s="43" t="n">
        <x:f>E10/B10-1</x:f>
        <x:v>0.30952009866901586</x:v>
      </x:c>
      <x:c r="H10" s="64" t="n">
        <x:f>RANK(D10,$D$6:$D$12,0)</x:f>
        <x:v>5</x:v>
      </x:c>
      <x:c r="I10" s="64" t="n">
        <x:f>RANK(F10,$F$6:$F$12,0)</x:f>
        <x:v>3</x:v>
      </x:c>
      <x:c r="J10" s="18" t="str">
        <x:v>Positive but slower than working-age cohorts.</x:v>
      </x:c>
      <x:c r="K10" s="18" t="str">
        <x:v>S02;S06;S07</x:v>
      </x:c>
      <x:c r="L10" s="18" t="str">
        <x:v>Decade cohort</x:v>
      </x:c>
      <x:c r="M10" s="18" t="str"/>
    </x:row>
    <x:row r="11" ht="15" hidden="0" customHeight="1">
      <x:c r="A11" s="36" t="str">
        <x:f>'02_Raw_NISA'!A35</x:f>
        <x:v>70s</x:v>
      </x:c>
      <x:c r="B11" s="40" t="n">
        <x:f>'02_Raw_NISA'!B35</x:f>
        <x:v>2.629057</x:v>
      </x:c>
      <x:c r="C11" s="40" t="n">
        <x:f>'02_Raw_NISA'!C35</x:f>
        <x:v>2.839669</x:v>
      </x:c>
      <x:c r="D11" s="43" t="n">
        <x:f>C11/B11-1</x:f>
        <x:v>0.08010933197720704</x:v>
      </x:c>
      <x:c r="E11" s="47" t="n">
        <x:f>'02_Raw_NISA'!D35</x:f>
        <x:v>3.078095</x:v>
      </x:c>
      <x:c r="F11" s="43" t="n">
        <x:f>E11/C11-1</x:f>
        <x:v>0.08396260268362243</x:v>
      </x:c>
      <x:c r="G11" s="43" t="n">
        <x:f>E11/B11-1</x:f>
        <x:v>0.1707981226728823</x:v>
      </x:c>
      <x:c r="H11" s="64" t="n">
        <x:f>RANK(D11,$D$6:$D$12,0)</x:f>
        <x:v>7</x:v>
      </x:c>
      <x:c r="I11" s="64" t="n">
        <x:f>RANK(F11,$F$6:$F$12,0)</x:f>
        <x:v>6</x:v>
      </x:c>
      <x:c r="J11" s="18" t="str">
        <x:v>Much slower launch-year growth.</x:v>
      </x:c>
      <x:c r="K11" s="18" t="str">
        <x:v>S02;S06;S07</x:v>
      </x:c>
      <x:c r="L11" s="18" t="str">
        <x:v>Decade cohort</x:v>
      </x:c>
      <x:c r="M11" s="18" t="str"/>
    </x:row>
    <x:row r="12" ht="15" hidden="0" customHeight="1">
      <x:c r="A12" s="36" t="str">
        <x:f>'02_Raw_NISA'!A36</x:f>
        <x:v>80+</x:v>
      </x:c>
      <x:c r="B12" s="40" t="n">
        <x:f>'02_Raw_NISA'!B36</x:f>
        <x:v>1.377958</x:v>
      </x:c>
      <x:c r="C12" s="40" t="n">
        <x:f>'02_Raw_NISA'!C36</x:f>
        <x:v>1.544862</x:v>
      </x:c>
      <x:c r="D12" s="43" t="n">
        <x:f>C12/B12-1</x:f>
        <x:v>0.12112415617892558</x:v>
      </x:c>
      <x:c r="E12" s="47" t="n">
        <x:f>'02_Raw_NISA'!D36</x:f>
        <x:v>1.590733</x:v>
      </x:c>
      <x:c r="F12" s="43" t="n">
        <x:f>E12/C12-1</x:f>
        <x:v>0.02969261979387161</x:v>
      </x:c>
      <x:c r="G12" s="43" t="n">
        <x:f>E12/B12-1</x:f>
        <x:v>0.1544132694900715</x:v>
      </x:c>
      <x:c r="H12" s="64" t="n">
        <x:f>RANK(D12,$D$6:$D$12,0)</x:f>
        <x:v>6</x:v>
      </x:c>
      <x:c r="I12" s="64" t="n">
        <x:f>RANK(F12,$F$6:$F$12,0)</x:f>
        <x:v>7</x:v>
      </x:c>
      <x:c r="J12" s="18" t="str">
        <x:v>Lowest second-year growth.</x:v>
      </x:c>
      <x:c r="K12" s="18" t="str">
        <x:v>S02;S06;S07</x:v>
      </x:c>
      <x:c r="L12" s="18" t="str">
        <x:v>Decade cohort</x:v>
      </x:c>
      <x:c r="M12" s="18" t="str"/>
    </x:row>
    <x:row r="13"/>
    <x:row r="14"/>
    <x:row r="15"/>
    <x:row r="16" ht="15" hidden="0" customHeight="1">
      <x:c r="A16" s="22" t="str">
        <x:v>B. Direct penetration: 2024 vs 2025</x:v>
      </x:c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 ht="15" hidden="0" customHeight="1">
      <x:c r="A17" s="16" t="str">
        <x:v>Age Cohort</x:v>
      </x:c>
      <x:c r="B17" s="16" t="str">
        <x:v>2024 Penetration</x:v>
      </x:c>
      <x:c r="C17" s="16" t="str">
        <x:v>2025 Penetration</x:v>
      </x:c>
      <x:c r="D17" s="16" t="str">
        <x:v>Change</x:v>
      </x:c>
      <x:c r="E17" s="16" t="str">
        <x:v>Change Rank</x:v>
      </x:c>
      <x:c r="F17" s="16" t="str">
        <x:v>2025 Rank</x:v>
      </x:c>
      <x:c r="G17" s="16" t="str">
        <x:v>2025 Accounts (m)</x:v>
      </x:c>
      <x:c r="H17" s="16" t="str">
        <x:v>Interpretation</x:v>
      </x:c>
      <x:c r="I17" s="16" t="str">
        <x:v>Source ID</x:v>
      </x:c>
      <x:c r="J17" s="16" t="str">
        <x:v>Population Basis</x:v>
      </x:c>
    </x:row>
    <x:row r="18" ht="26.399999618530273" hidden="0" customHeight="1">
      <x:c r="A18" s="36" t="str">
        <x:f>'02_Raw_NISA'!A41</x:f>
        <x:v>10s</x:v>
      </x:c>
      <x:c r="B18" s="66" t="n">
        <x:f>'02_Raw_NISA'!B41</x:f>
        <x:v>0.054</x:v>
      </x:c>
      <x:c r="C18" s="66" t="n">
        <x:f>'02_Raw_NISA'!C41</x:f>
        <x:v>0.061</x:v>
      </x:c>
      <x:c r="D18" s="60" t="n">
        <x:f>C18-B18</x:f>
        <x:v>0.006999999999999999</x:v>
      </x:c>
      <x:c r="E18" s="64" t="n">
        <x:f>RANK(D18,$D$18:$D$25,0)</x:f>
        <x:v>7</x:v>
      </x:c>
      <x:c r="F18" s="64" t="n">
        <x:f>RANK(C18,$C$18:$C$25,0)</x:f>
        <x:v>8</x:v>
      </x:c>
      <x:c r="G18" s="26" t="n">
        <x:v>0.13</x:v>
      </x:c>
      <x:c r="H18" s="18" t="str">
        <x:v>Eligibility only ages 18-19; modest gain.</x:v>
      </x:c>
      <x:c r="I18" s="18" t="str">
        <x:v>S04;S34</x:v>
      </x:c>
      <x:c r="J18" s="18" t="str">
        <x:v>2024-10 population for both published rates</x:v>
      </x:c>
    </x:row>
    <x:row r="19" ht="26.399999618530273" hidden="0" customHeight="1">
      <x:c r="A19" s="36" t="str">
        <x:f>'02_Raw_NISA'!A42</x:f>
        <x:v>20s</x:v>
      </x:c>
      <x:c r="B19" s="66" t="n">
        <x:f>'02_Raw_NISA'!B42</x:f>
        <x:v>0.231</x:v>
      </x:c>
      <x:c r="C19" s="66" t="n">
        <x:f>'02_Raw_NISA'!C42</x:f>
        <x:v>0.264</x:v>
      </x:c>
      <x:c r="D19" s="60" t="n">
        <x:f>C19-B19</x:f>
        <x:v>0.033</x:v>
      </x:c>
      <x:c r="E19" s="64" t="n">
        <x:f>RANK(D19,$D$18:$D$25,0)</x:f>
        <x:v>2</x:v>
      </x:c>
      <x:c r="F19" s="64" t="n">
        <x:f>RANK(C19,$C$18:$C$25,0)</x:f>
        <x:v>5</x:v>
      </x:c>
      <x:c r="G19" s="26" t="n">
        <x:v>3.37</x:v>
      </x:c>
      <x:c r="H19" s="18" t="str">
        <x:v>26.4% penetration; +3.3 pp.</x:v>
      </x:c>
      <x:c r="I19" s="18" t="str">
        <x:v>S04;S34</x:v>
      </x:c>
      <x:c r="J19" s="18" t="str">
        <x:v>2024-10 population for both published rates</x:v>
      </x:c>
    </x:row>
    <x:row r="20" ht="39.599998474121094" hidden="0" customHeight="1">
      <x:c r="A20" s="36" t="str">
        <x:f>'02_Raw_NISA'!A43</x:f>
        <x:v>30s</x:v>
      </x:c>
      <x:c r="B20" s="66" t="n">
        <x:f>'02_Raw_NISA'!B43</x:f>
        <x:v>0.338</x:v>
      </x:c>
      <x:c r="C20" s="66" t="n">
        <x:f>'02_Raw_NISA'!C43</x:f>
        <x:v>0.373</x:v>
      </x:c>
      <x:c r="D20" s="60" t="n">
        <x:f>C20-B20</x:f>
        <x:v>0.034999999999999976</x:v>
      </x:c>
      <x:c r="E20" s="64" t="n">
        <x:f>RANK(D20,$D$18:$D$25,0)</x:f>
        <x:v>1</x:v>
      </x:c>
      <x:c r="F20" s="64" t="n">
        <x:f>RANK(C20,$C$18:$C$25,0)</x:f>
        <x:v>1</x:v>
      </x:c>
      <x:c r="G20" s="26" t="n">
        <x:v>4.95</x:v>
      </x:c>
      <x:c r="H20" s="18" t="str">
        <x:v>Highest penetration at 37.3%; largest 2024-25 gain.</x:v>
      </x:c>
      <x:c r="I20" s="18" t="str">
        <x:v>S04;S34</x:v>
      </x:c>
      <x:c r="J20" s="18" t="str">
        <x:v>2024-10 population for both published rates</x:v>
      </x:c>
    </x:row>
    <x:row r="21" ht="26.399999618530273" hidden="0" customHeight="1">
      <x:c r="A21" s="36" t="str">
        <x:f>'02_Raw_NISA'!A44</x:f>
        <x:v>40s</x:v>
      </x:c>
      <x:c r="B21" s="66" t="n">
        <x:f>'02_Raw_NISA'!B44</x:f>
        <x:v>0.301</x:v>
      </x:c>
      <x:c r="C21" s="66" t="n">
        <x:f>'02_Raw_NISA'!C44</x:f>
        <x:v>0.329</x:v>
      </x:c>
      <x:c r="D21" s="60" t="n">
        <x:f>C21-B21</x:f>
        <x:v>0.028000000000000025</x:v>
      </x:c>
      <x:c r="E21" s="64" t="n">
        <x:f>RANK(D21,$D$18:$D$25,0)</x:f>
        <x:v>4</x:v>
      </x:c>
      <x:c r="F21" s="64" t="n">
        <x:f>RANK(C21,$C$18:$C$25,0)</x:f>
        <x:v>2</x:v>
      </x:c>
      <x:c r="G21" s="26" t="n">
        <x:v>5.38</x:v>
      </x:c>
      <x:c r="H21" s="18" t="str">
        <x:v>32.9% penetration; +2.8 pp.</x:v>
      </x:c>
      <x:c r="I21" s="18" t="str">
        <x:v>S04;S34</x:v>
      </x:c>
      <x:c r="J21" s="18" t="str">
        <x:v>2024-10 population for both published rates</x:v>
      </x:c>
    </x:row>
    <x:row r="22" ht="26.399999618530273" hidden="0" customHeight="1">
      <x:c r="A22" s="36" t="str">
        <x:f>'02_Raw_NISA'!A45</x:f>
        <x:v>50s</x:v>
      </x:c>
      <x:c r="B22" s="66" t="n">
        <x:f>'02_Raw_NISA'!B45</x:f>
        <x:v>0.271</x:v>
      </x:c>
      <x:c r="C22" s="66" t="n">
        <x:f>'02_Raw_NISA'!C45</x:f>
        <x:v>0.303</x:v>
      </x:c>
      <x:c r="D22" s="60" t="n">
        <x:f>C22-B22</x:f>
        <x:v>0.03199999999999997</x:v>
      </x:c>
      <x:c r="E22" s="64" t="n">
        <x:f>RANK(D22,$D$18:$D$25,0)</x:f>
        <x:v>3</x:v>
      </x:c>
      <x:c r="F22" s="64" t="n">
        <x:f>RANK(C22,$C$18:$C$25,0)</x:f>
        <x:v>3</x:v>
      </x:c>
      <x:c r="G22" s="26" t="n">
        <x:v>5.53</x:v>
      </x:c>
      <x:c r="H22" s="18" t="str">
        <x:v>30.3% penetration; +3.2 pp.</x:v>
      </x:c>
      <x:c r="I22" s="18" t="str">
        <x:v>S04;S34</x:v>
      </x:c>
      <x:c r="J22" s="18" t="str">
        <x:v>2024-10 population for both published rates</x:v>
      </x:c>
    </x:row>
    <x:row r="23" ht="26.399999618530273" hidden="0" customHeight="1">
      <x:c r="A23" s="36" t="str">
        <x:f>'02_Raw_NISA'!A46</x:f>
        <x:v>60s</x:v>
      </x:c>
      <x:c r="B23" s="66" t="n">
        <x:f>'02_Raw_NISA'!B46</x:f>
        <x:v>0.254</x:v>
      </x:c>
      <x:c r="C23" s="66" t="n">
        <x:f>'02_Raw_NISA'!C46</x:f>
        <x:v>0.281</x:v>
      </x:c>
      <x:c r="D23" s="60" t="n">
        <x:f>C23-B23</x:f>
        <x:v>0.027000000000000024</x:v>
      </x:c>
      <x:c r="E23" s="64" t="n">
        <x:f>RANK(D23,$D$18:$D$25,0)</x:f>
        <x:v>5</x:v>
      </x:c>
      <x:c r="F23" s="64" t="n">
        <x:f>RANK(C23,$C$18:$C$25,0)</x:f>
        <x:v>4</x:v>
      </x:c>
      <x:c r="G23" s="26" t="n">
        <x:v>4.18</x:v>
      </x:c>
      <x:c r="H23" s="18" t="str">
        <x:v>28.1% penetration; +2.7 pp.</x:v>
      </x:c>
      <x:c r="I23" s="18" t="str">
        <x:v>S04;S34</x:v>
      </x:c>
      <x:c r="J23" s="18" t="str">
        <x:v>2024-10 population for both published rates</x:v>
      </x:c>
    </x:row>
    <x:row r="24" ht="26.399999618530273" hidden="0" customHeight="1">
      <x:c r="A24" s="36" t="str">
        <x:f>'02_Raw_NISA'!A47</x:f>
        <x:v>70s</x:v>
      </x:c>
      <x:c r="B24" s="66" t="n">
        <x:f>'02_Raw_NISA'!B47</x:f>
        <x:v>0.177</x:v>
      </x:c>
      <x:c r="C24" s="66" t="n">
        <x:f>'02_Raw_NISA'!C47</x:f>
        <x:v>0.191</x:v>
      </x:c>
      <x:c r="D24" s="60" t="n">
        <x:f>C24-B24</x:f>
        <x:v>0.014000000000000012</x:v>
      </x:c>
      <x:c r="E24" s="64" t="n">
        <x:f>RANK(D24,$D$18:$D$25,0)</x:f>
        <x:v>6</x:v>
      </x:c>
      <x:c r="F24" s="64" t="n">
        <x:f>RANK(C24,$C$18:$C$25,0)</x:f>
        <x:v>6</x:v>
      </x:c>
      <x:c r="G24" s="26" t="n">
        <x:v>3.08</x:v>
      </x:c>
      <x:c r="H24" s="18" t="str">
        <x:v>Slower expansion.</x:v>
      </x:c>
      <x:c r="I24" s="18" t="str">
        <x:v>S04;S34</x:v>
      </x:c>
      <x:c r="J24" s="18" t="str">
        <x:v>2024-10 population for both published rates</x:v>
      </x:c>
    </x:row>
    <x:row r="25" ht="26.399999618530273" hidden="0" customHeight="1">
      <x:c r="A25" s="36" t="str">
        <x:f>'02_Raw_NISA'!A48</x:f>
        <x:v>80+</x:v>
      </x:c>
      <x:c r="B25" s="66" t="n">
        <x:f>'02_Raw_NISA'!B48</x:f>
        <x:v>0.12</x:v>
      </x:c>
      <x:c r="C25" s="66" t="n">
        <x:f>'02_Raw_NISA'!C48</x:f>
        <x:v>0.123</x:v>
      </x:c>
      <x:c r="D25" s="60" t="n">
        <x:f>C25-B25</x:f>
        <x:v>0.0030000000000000027</x:v>
      </x:c>
      <x:c r="E25" s="64" t="n">
        <x:f>RANK(D25,$D$18:$D$25,0)</x:f>
        <x:v>8</x:v>
      </x:c>
      <x:c r="F25" s="64" t="n">
        <x:f>RANK(C25,$C$18:$C$25,0)</x:f>
        <x:v>7</x:v>
      </x:c>
      <x:c r="G25" s="26" t="n">
        <x:v>1.59</x:v>
      </x:c>
      <x:c r="H25" s="18" t="str">
        <x:v>Nearly flat relative to younger cohorts.</x:v>
      </x:c>
      <x:c r="I25" s="18" t="str">
        <x:v>S04;S34</x:v>
      </x:c>
      <x:c r="J25" s="18" t="str">
        <x:v>2024-10 population for both published rates</x:v>
      </x:c>
    </x:row>
    <x:row r="26"/>
    <x:row r="27"/>
    <x:row r="28"/>
    <x:row r="29" ht="15" hidden="0" customHeight="1">
      <x:c r="A29" s="22" t="str">
        <x:v>C. 2024 purchase behavior by age</x:v>
      </x:c>
      <x:c r="B29" s="22"/>
      <x:c r="C29" s="22"/>
      <x:c r="D29" s="22"/>
      <x:c r="E29" s="22"/>
      <x:c r="F29" s="22"/>
      <x:c r="G29" s="22"/>
      <x:c r="H29" s="22"/>
      <x:c r="I29" s="22"/>
    </x:row>
    <x:row r="30" ht="21.600000381469727" hidden="0" customHeight="1">
      <x:c r="A30" s="16" t="str">
        <x:v>Age Cohort</x:v>
      </x:c>
      <x:c r="B30" s="16" t="str">
        <x:v>Growth Quota (¥bn)</x:v>
      </x:c>
      <x:c r="C30" s="16" t="str">
        <x:v>Accumulation Quota (¥bn)</x:v>
      </x:c>
      <x:c r="D30" s="16" t="str">
        <x:v>Total Components (¥bn)</x:v>
      </x:c>
      <x:c r="E30" s="16" t="str">
        <x:v>Accumulation Share</x:v>
      </x:c>
      <x:c r="F30" s="16" t="str">
        <x:v>Growth Share</x:v>
      </x:c>
      <x:c r="G30" s="16" t="str">
        <x:v>Behavioral Readout</x:v>
      </x:c>
      <x:c r="H30" s="16" t="str">
        <x:v>Source ID</x:v>
      </x:c>
      <x:c r="I30" s="16" t="str">
        <x:v>Rounding Caveat</x:v>
      </x:c>
    </x:row>
    <x:row r="31" ht="66" hidden="0" customHeight="1">
      <x:c r="A31" s="36" t="str">
        <x:f>'02_Raw_NISA'!A53</x:f>
        <x:v>&lt;=20s</x:v>
      </x:c>
      <x:c r="B31" s="68" t="n">
        <x:f>'02_Raw_NISA'!B53</x:f>
        <x:v>628.8</x:v>
      </x:c>
      <x:c r="C31" s="68" t="n">
        <x:f>'02_Raw_NISA'!C53</x:f>
        <x:v>555.4</x:v>
      </x:c>
      <x:c r="D31" s="69" t="n">
        <x:f>B31+C31</x:f>
        <x:v>1184.1999999999998</x:v>
      </x:c>
      <x:c r="E31" s="43" t="n">
        <x:f>C31/D31</x:f>
        <x:v>0.469008613409897</x:v>
      </x:c>
      <x:c r="F31" s="43" t="n">
        <x:f>B31/D31</x:f>
        <x:v>0.530991386590103</x:v>
      </x:c>
      <x:c r="G31" s="18" t="str">
        <x:v>Highest accumulation share (~46.9%).</x:v>
      </x:c>
      <x:c r="H31" s="18" t="str">
        <x:v>S34</x:v>
      </x:c>
      <x:c r="I31" s="18" t="str">
        <x:v>Rounded components; accumulation sum differs from official total by ¥0.2bn.</x:v>
      </x:c>
    </x:row>
    <x:row r="32" ht="66" hidden="0" customHeight="1">
      <x:c r="A32" s="36" t="str">
        <x:f>'02_Raw_NISA'!A54</x:f>
        <x:v>30s</x:v>
      </x:c>
      <x:c r="B32" s="68" t="n">
        <x:f>'02_Raw_NISA'!B54</x:f>
        <x:v>1778.7</x:v>
      </x:c>
      <x:c r="C32" s="68" t="n">
        <x:f>'02_Raw_NISA'!C54</x:f>
        <x:v>1198.7</x:v>
      </x:c>
      <x:c r="D32" s="69" t="n">
        <x:f>B32+C32</x:f>
        <x:v>2977.4</x:v>
      </x:c>
      <x:c r="E32" s="43" t="n">
        <x:f>C32/D32</x:f>
        <x:v>0.40259958352925374</x:v>
      </x:c>
      <x:c r="F32" s="43" t="n">
        <x:f>B32/D32</x:f>
        <x:v>0.5974004164707463</x:v>
      </x:c>
      <x:c r="G32" s="18" t="str">
        <x:v>Accumulation-heavy (~40.3%).</x:v>
      </x:c>
      <x:c r="H32" s="18" t="str">
        <x:v>S34</x:v>
      </x:c>
      <x:c r="I32" s="18" t="str">
        <x:v>Rounded components; accumulation sum differs from official total by ¥0.2bn.</x:v>
      </x:c>
    </x:row>
    <x:row r="33" ht="66" hidden="0" customHeight="1">
      <x:c r="A33" s="36" t="str">
        <x:f>'02_Raw_NISA'!A55</x:f>
        <x:v>40s</x:v>
      </x:c>
      <x:c r="B33" s="68" t="n">
        <x:f>'02_Raw_NISA'!B55</x:f>
        <x:v>2338.3</x:v>
      </x:c>
      <x:c r="C33" s="68" t="n">
        <x:f>'02_Raw_NISA'!C55</x:f>
        <x:v>1218.8</x:v>
      </x:c>
      <x:c r="D33" s="69" t="n">
        <x:f>B33+C33</x:f>
        <x:v>3557.1000000000004</x:v>
      </x:c>
      <x:c r="E33" s="43" t="n">
        <x:f>C33/D33</x:f>
        <x:v>0.34263866632931317</x:v>
      </x:c>
      <x:c r="F33" s="43" t="n">
        <x:f>B33/D33</x:f>
        <x:v>0.6573613336706868</x:v>
      </x:c>
      <x:c r="G33" s="18" t="str">
        <x:v>Meaningful recurring-investment share.</x:v>
      </x:c>
      <x:c r="H33" s="18" t="str">
        <x:v>S34</x:v>
      </x:c>
      <x:c r="I33" s="18" t="str">
        <x:v>Rounded components; accumulation sum differs from official total by ¥0.2bn.</x:v>
      </x:c>
    </x:row>
    <x:row r="34" ht="66" hidden="0" customHeight="1">
      <x:c r="A34" s="36" t="str">
        <x:f>'02_Raw_NISA'!A56</x:f>
        <x:v>50s</x:v>
      </x:c>
      <x:c r="B34" s="68" t="n">
        <x:f>'02_Raw_NISA'!B56</x:f>
        <x:v>2616</x:v>
      </x:c>
      <x:c r="C34" s="68" t="n">
        <x:f>'02_Raw_NISA'!C56</x:f>
        <x:v>1092.3</x:v>
      </x:c>
      <x:c r="D34" s="69" t="n">
        <x:f>B34+C34</x:f>
        <x:v>3708.3</x:v>
      </x:c>
      <x:c r="E34" s="43" t="n">
        <x:f>C34/D34</x:f>
        <x:v>0.2945554566782623</x:v>
      </x:c>
      <x:c r="F34" s="43" t="n">
        <x:f>B34/D34</x:f>
        <x:v>0.7054445433217377</x:v>
      </x:c>
      <x:c r="G34" s="18" t="str">
        <x:v>More growth-quota weighted.</x:v>
      </x:c>
      <x:c r="H34" s="18" t="str">
        <x:v>S34</x:v>
      </x:c>
      <x:c r="I34" s="18" t="str">
        <x:v>Rounded components; accumulation sum differs from official total by ¥0.2bn.</x:v>
      </x:c>
    </x:row>
    <x:row r="35" ht="66" hidden="0" customHeight="1">
      <x:c r="A35" s="36" t="str">
        <x:f>'02_Raw_NISA'!A57</x:f>
        <x:v>60s</x:v>
      </x:c>
      <x:c r="B35" s="68" t="n">
        <x:f>'02_Raw_NISA'!B57</x:f>
        <x:v>2511.6</x:v>
      </x:c>
      <x:c r="C35" s="68" t="n">
        <x:f>'02_Raw_NISA'!C57</x:f>
        <x:v>649</x:v>
      </x:c>
      <x:c r="D35" s="69" t="n">
        <x:f>B35+C35</x:f>
        <x:v>3160.6</x:v>
      </x:c>
      <x:c r="E35" s="43" t="n">
        <x:f>C35/D35</x:f>
        <x:v>0.20534075808390811</x:v>
      </x:c>
      <x:c r="F35" s="43" t="n">
        <x:f>B35/D35</x:f>
        <x:v>0.7946592419160918</x:v>
      </x:c>
      <x:c r="G35" s="18" t="str">
        <x:v>Growth-quota dominant.</x:v>
      </x:c>
      <x:c r="H35" s="18" t="str">
        <x:v>S34</x:v>
      </x:c>
      <x:c r="I35" s="18" t="str">
        <x:v>Rounded components; accumulation sum differs from official total by ¥0.2bn.</x:v>
      </x:c>
    </x:row>
    <x:row r="36" ht="66" hidden="0" customHeight="1">
      <x:c r="A36" s="36" t="str">
        <x:f>'02_Raw_NISA'!A58</x:f>
        <x:v>70s</x:v>
      </x:c>
      <x:c r="B36" s="68" t="n">
        <x:f>'02_Raw_NISA'!B58</x:f>
        <x:v>1880.9</x:v>
      </x:c>
      <x:c r="C36" s="68" t="n">
        <x:f>'02_Raw_NISA'!C58</x:f>
        <x:v>219.1</x:v>
      </x:c>
      <x:c r="D36" s="69" t="n">
        <x:f>B36+C36</x:f>
        <x:v>2100</x:v>
      </x:c>
      <x:c r="E36" s="43" t="n">
        <x:f>C36/D36</x:f>
        <x:v>0.10433333333333333</x:v>
      </x:c>
      <x:c r="F36" s="43" t="n">
        <x:f>B36/D36</x:f>
        <x:v>0.8956666666666667</x:v>
      </x:c>
      <x:c r="G36" s="18" t="str">
        <x:v>Growth-quota dominant.</x:v>
      </x:c>
      <x:c r="H36" s="18" t="str">
        <x:v>S34</x:v>
      </x:c>
      <x:c r="I36" s="18" t="str">
        <x:v>Rounded components; accumulation sum differs from official total by ¥0.2bn.</x:v>
      </x:c>
    </x:row>
    <x:row r="37" ht="66" hidden="0" customHeight="1">
      <x:c r="A37" s="36" t="str">
        <x:f>'02_Raw_NISA'!A59</x:f>
        <x:v>80+</x:v>
      </x:c>
      <x:c r="B37" s="68" t="n">
        <x:f>'02_Raw_NISA'!B59</x:f>
        <x:v>660.1</x:v>
      </x:c>
      <x:c r="C37" s="68" t="n">
        <x:f>'02_Raw_NISA'!C59</x:f>
        <x:v>34.6</x:v>
      </x:c>
      <x:c r="D37" s="69" t="n">
        <x:f>B37+C37</x:f>
        <x:v>694.7</x:v>
      </x:c>
      <x:c r="E37" s="43" t="n">
        <x:f>C37/D37</x:f>
        <x:v>0.04980567151288326</x:v>
      </x:c>
      <x:c r="F37" s="43" t="n">
        <x:f>B37/D37</x:f>
        <x:v>0.9501943284871167</x:v>
      </x:c>
      <x:c r="G37" s="18" t="str">
        <x:v>Almost entirely growth-quota weighted.</x:v>
      </x:c>
      <x:c r="H37" s="18" t="str">
        <x:v>S34</x:v>
      </x:c>
      <x:c r="I37" s="18" t="str">
        <x:v>Rounded components; accumulation sum differs from official total by ¥0.2bn.</x:v>
      </x:c>
    </x:row>
    <x:row r="38"/>
    <x:row r="39"/>
    <x:row r="40"/>
    <x:row r="41" ht="15" hidden="0" customHeight="1">
      <x:c r="A41" s="22" t="str">
        <x:v>D. Supporting reconstructed 2023 penetration (30s+ only)</x:v>
      </x:c>
      <x:c r="B41" s="22"/>
      <x:c r="C41" s="22"/>
      <x:c r="D41" s="22"/>
      <x:c r="E41" s="22"/>
      <x:c r="F41" s="22"/>
      <x:c r="G41" s="22"/>
      <x:c r="H41" s="22"/>
      <x:c r="I41" s="22"/>
    </x:row>
    <x:row r="42" ht="21.600000381469727" hidden="0" customHeight="1">
      <x:c r="A42" s="16" t="str">
        <x:v>Age Cohort</x:v>
      </x:c>
      <x:c r="B42" s="16" t="str">
        <x:v>2023 Accounts (m)</x:v>
      </x:c>
      <x:c r="C42" s="16" t="str">
        <x:v>2023 Population (m)</x:v>
      </x:c>
      <x:c r="D42" s="16" t="str">
        <x:v>Calc. 2023 Penetration</x:v>
      </x:c>
      <x:c r="E42" s="16" t="str">
        <x:v>2024 Direct Penetration</x:v>
      </x:c>
      <x:c r="F42" s="16" t="str">
        <x:v>Implied Change</x:v>
      </x:c>
      <x:c r="G42" s="16" t="str">
        <x:v>Use</x:v>
      </x:c>
      <x:c r="H42" s="16" t="str">
        <x:v>Source IDs</x:v>
      </x:c>
      <x:c r="I42" s="16" t="str">
        <x:v>Caveat</x:v>
      </x:c>
    </x:row>
    <x:row r="43" ht="52.79999923706055" hidden="0" customHeight="1">
      <x:c r="A43" s="36" t="str">
        <x:f>'02_Raw_NISA'!A31</x:f>
        <x:v>30s</x:v>
      </x:c>
      <x:c r="B43" s="72" t="n">
        <x:f>'02_Raw_NISA'!B31</x:f>
        <x:v>3.707521</x:v>
      </x:c>
      <x:c r="C43" s="72" t="n">
        <x:f>'02_Raw_NISA'!B64</x:f>
        <x:v>13.427</x:v>
      </x:c>
      <x:c r="D43" s="43" t="n">
        <x:f>B43/C43</x:f>
        <x:v>0.27612430177999553</x:v>
      </x:c>
      <x:c r="E43" s="43" t="n">
        <x:f>'02_Raw_NISA'!B43</x:f>
        <x:v>0.338</x:v>
      </x:c>
      <x:c r="F43" s="60" t="n">
        <x:f>E43-D43</x:f>
        <x:v>0.061875698220004494</x:v>
      </x:c>
      <x:c r="G43" s="18" t="str">
        <x:v>Supporting only; direct 2024/25 rates above are preferred.</x:v>
      </x:c>
      <x:c r="H43" s="18" t="str">
        <x:v>S04;S08</x:v>
      </x:c>
      <x:c r="I43" s="18" t="str">
        <x:v>Timing/rounding make this descriptive, not an official change statistic.</x:v>
      </x:c>
    </x:row>
    <x:row r="44" ht="52.79999923706055" hidden="0" customHeight="1">
      <x:c r="A44" s="36" t="str">
        <x:f>'02_Raw_NISA'!A32</x:f>
        <x:v>40s</x:v>
      </x:c>
      <x:c r="B44" s="72" t="n">
        <x:f>'02_Raw_NISA'!B32</x:f>
        <x:v>4.044686</x:v>
      </x:c>
      <x:c r="C44" s="72" t="n">
        <x:f>'02_Raw_NISA'!B65</x:f>
        <x:v>16.88</x:v>
      </x:c>
      <x:c r="D44" s="43" t="n">
        <x:f>B44/C44</x:f>
        <x:v>0.23961409952606633</x:v>
      </x:c>
      <x:c r="E44" s="43" t="n">
        <x:f>'02_Raw_NISA'!B44</x:f>
        <x:v>0.301</x:v>
      </x:c>
      <x:c r="F44" s="60" t="n">
        <x:f>E44-D44</x:f>
        <x:v>0.06138590047393366</x:v>
      </x:c>
      <x:c r="G44" s="18" t="str">
        <x:v>Supporting only; direct 2024/25 rates above are preferred.</x:v>
      </x:c>
      <x:c r="H44" s="18" t="str">
        <x:v>S04;S08</x:v>
      </x:c>
      <x:c r="I44" s="18" t="str">
        <x:v>Timing/rounding make this descriptive, not an official change statistic.</x:v>
      </x:c>
    </x:row>
    <x:row r="45" ht="52.79999923706055" hidden="0" customHeight="1">
      <x:c r="A45" s="36" t="str">
        <x:f>'02_Raw_NISA'!A33</x:f>
        <x:v>50s</x:v>
      </x:c>
      <x:c r="B45" s="72" t="n">
        <x:f>'02_Raw_NISA'!B33</x:f>
        <x:v>3.945129</x:v>
      </x:c>
      <x:c r="C45" s="72" t="n">
        <x:f>'02_Raw_NISA'!B66</x:f>
        <x:v>17.929</x:v>
      </x:c>
      <x:c r="D45" s="43" t="n">
        <x:f>B45/C45</x:f>
        <x:v>0.22004177589380336</x:v>
      </x:c>
      <x:c r="E45" s="43" t="n">
        <x:f>'02_Raw_NISA'!B45</x:f>
        <x:v>0.271</x:v>
      </x:c>
      <x:c r="F45" s="60" t="n">
        <x:f>E45-D45</x:f>
        <x:v>0.05095822410619666</x:v>
      </x:c>
      <x:c r="G45" s="18" t="str">
        <x:v>Supporting only; direct 2024/25 rates above are preferred.</x:v>
      </x:c>
      <x:c r="H45" s="18" t="str">
        <x:v>S04;S08</x:v>
      </x:c>
      <x:c r="I45" s="18" t="str">
        <x:v>Timing/rounding make this descriptive, not an official change statistic.</x:v>
      </x:c>
    </x:row>
    <x:row r="46" ht="52.79999923706055" hidden="0" customHeight="1">
      <x:c r="A46" s="36" t="str">
        <x:f>'02_Raw_NISA'!A34</x:f>
        <x:v>60s</x:v>
      </x:c>
      <x:c r="B46" s="72" t="n">
        <x:f>'02_Raw_NISA'!B34</x:f>
        <x:v>3.188843</x:v>
      </x:c>
      <x:c r="C46" s="72" t="n">
        <x:f>'02_Raw_NISA'!B67</x:f>
        <x:v>14.839</x:v>
      </x:c>
      <x:c r="D46" s="43" t="n">
        <x:f>B46/C46</x:f>
        <x:v>0.21489608464182222</x:v>
      </x:c>
      <x:c r="E46" s="43" t="n">
        <x:f>'02_Raw_NISA'!B46</x:f>
        <x:v>0.254</x:v>
      </x:c>
      <x:c r="F46" s="60" t="n">
        <x:f>E46-D46</x:f>
        <x:v>0.03910391535817778</x:v>
      </x:c>
      <x:c r="G46" s="18" t="str">
        <x:v>Supporting only; direct 2024/25 rates above are preferred.</x:v>
      </x:c>
      <x:c r="H46" s="18" t="str">
        <x:v>S04;S08</x:v>
      </x:c>
      <x:c r="I46" s="18" t="str">
        <x:v>Timing/rounding make this descriptive, not an official change statistic.</x:v>
      </x:c>
    </x:row>
    <x:row r="47" ht="52.79999923706055" hidden="0" customHeight="1">
      <x:c r="A47" s="36" t="str">
        <x:f>'02_Raw_NISA'!A35</x:f>
        <x:v>70s</x:v>
      </x:c>
      <x:c r="B47" s="72" t="n">
        <x:f>'02_Raw_NISA'!B35</x:f>
        <x:v>2.629057</x:v>
      </x:c>
      <x:c r="C47" s="72" t="n">
        <x:f>'02_Raw_NISA'!B68</x:f>
        <x:v>16.291</x:v>
      </x:c>
      <x:c r="D47" s="43" t="n">
        <x:f>B47/C47</x:f>
        <x:v>0.16138094653489657</x:v>
      </x:c>
      <x:c r="E47" s="43" t="n">
        <x:f>'02_Raw_NISA'!B47</x:f>
        <x:v>0.177</x:v>
      </x:c>
      <x:c r="F47" s="60" t="n">
        <x:f>E47-D47</x:f>
        <x:v>0.015619053465103422</x:v>
      </x:c>
      <x:c r="G47" s="18" t="str">
        <x:v>Supporting only; direct 2024/25 rates above are preferred.</x:v>
      </x:c>
      <x:c r="H47" s="18" t="str">
        <x:v>S04;S08</x:v>
      </x:c>
      <x:c r="I47" s="18" t="str">
        <x:v>Timing/rounding make this descriptive, not an official change statistic.</x:v>
      </x:c>
    </x:row>
    <x:row r="48" ht="52.79999923706055" hidden="0" customHeight="1">
      <x:c r="A48" s="36" t="str">
        <x:f>'02_Raw_NISA'!A36</x:f>
        <x:v>80+</x:v>
      </x:c>
      <x:c r="B48" s="72" t="n">
        <x:f>'02_Raw_NISA'!B36</x:f>
        <x:v>1.377958</x:v>
      </x:c>
      <x:c r="C48" s="72" t="n">
        <x:f>'02_Raw_NISA'!B69</x:f>
        <x:v>12.603</x:v>
      </x:c>
      <x:c r="D48" s="43" t="n">
        <x:f>B48/C48</x:f>
        <x:v>0.10933571371895581</x:v>
      </x:c>
      <x:c r="E48" s="43" t="n">
        <x:f>'02_Raw_NISA'!B48</x:f>
        <x:v>0.12</x:v>
      </x:c>
      <x:c r="F48" s="60" t="n">
        <x:f>E48-D48</x:f>
        <x:v>0.010664286281044183</x:v>
      </x:c>
      <x:c r="G48" s="18" t="str">
        <x:v>Supporting only; direct 2024/25 rates above are preferred.</x:v>
      </x:c>
      <x:c r="H48" s="18" t="str">
        <x:v>S04;S08</x:v>
      </x:c>
      <x:c r="I48" s="18" t="str">
        <x:v>Timing/rounding make this descriptive, not an official change statistic.</x:v>
      </x:c>
    </x:row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M1"/>
    <x:mergeCell ref="A2:M2"/>
    <x:mergeCell ref="A4:M4"/>
    <x:mergeCell ref="A16:J16"/>
    <x:mergeCell ref="A29:I29"/>
    <x:mergeCell ref="A41:I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0" hidden="0" customWidth="1"/>
    <x:col min="3" max="3" width="19" hidden="0" customWidth="1"/>
    <x:col min="4" max="4" width="20" hidden="0" customWidth="1"/>
    <x:col min="5" max="5" width="58" hidden="0" customWidth="1"/>
    <x:col min="6" max="6" width="38" hidden="0" customWidth="1"/>
    <x:col min="7" max="7" width="18" hidden="0" customWidth="1"/>
    <x:col min="8" max="8" width="16" hidden="0" customWidth="1"/>
    <x:col min="9" max="9" width="40" hidden="0" customWidth="1"/>
  </x:cols>
  <x:sheetData>
    <x:row r="1" ht="19.200000762939453" hidden="0" customHeight="1">
      <x:c r="A1" s="4" t="str">
        <x:v>05_Product_Mix</x:v>
      </x:c>
      <x:c r="B1" s="4"/>
      <x:c r="C1" s="4"/>
      <x:c r="D1" s="4"/>
      <x:c r="E1" s="4"/>
      <x:c r="F1" s="4"/>
      <x:c r="G1" s="4"/>
      <x:c r="H1" s="4"/>
      <x:c r="I1" s="4"/>
    </x:row>
    <x:row r="2" ht="15" hidden="0" customHeight="1">
      <x:c r="A2" s="10" t="str">
        <x:v>New NISA purchase composition: accumulation gained share in year two and low-cost index funds dominate accumulation purchases.</x:v>
      </x:c>
      <x:c r="B2" s="10"/>
      <x:c r="C2" s="10"/>
      <x:c r="D2" s="10"/>
      <x:c r="E2" s="10"/>
      <x:c r="F2" s="10"/>
      <x:c r="G2" s="10"/>
      <x:c r="H2" s="10"/>
      <x:c r="I2" s="10"/>
    </x:row>
    <x:row r="3"/>
    <x:row r="4" ht="15" hidden="0" customHeight="1">
      <x:c r="A4" s="22" t="str">
        <x:v>A. Annual quota mix</x:v>
      </x:c>
      <x:c r="B4" s="22"/>
      <x:c r="C4" s="22"/>
      <x:c r="D4" s="22"/>
      <x:c r="E4" s="22"/>
      <x:c r="F4" s="22"/>
      <x:c r="G4" s="22"/>
      <x:c r="H4" s="22"/>
      <x:c r="I4" s="22"/>
    </x:row>
    <x:row r="5" ht="15" hidden="0" customHeight="1">
      <x:c r="A5" s="16" t="str">
        <x:v>Year</x:v>
      </x:c>
      <x:c r="B5" s="16" t="str">
        <x:v>Universe</x:v>
      </x:c>
      <x:c r="C5" s="16" t="str">
        <x:v>Growth Quota (¥tn)</x:v>
      </x:c>
      <x:c r="D5" s="16" t="str">
        <x:v>Accumulation Quota (¥tn)</x:v>
      </x:c>
      <x:c r="E5" s="16" t="str">
        <x:v>Total (¥tn)</x:v>
      </x:c>
      <x:c r="F5" s="16" t="str">
        <x:v>Growth Share</x:v>
      </x:c>
      <x:c r="G5" s="16" t="str">
        <x:v>Accumulation Share</x:v>
      </x:c>
      <x:c r="H5" s="16" t="str">
        <x:v>Total YoY</x:v>
      </x:c>
      <x:c r="I5" s="16" t="str">
        <x:v>Source ID</x:v>
      </x:c>
    </x:row>
    <x:row r="6" ht="15" hidden="0" customHeight="1">
      <x:c r="A6" s="36" t="n">
        <x:f>'02_Raw_NISA'!A22</x:f>
        <x:v>2024</x:v>
      </x:c>
      <x:c r="B6" s="36" t="str">
        <x:f>'02_Raw_NISA'!B22</x:f>
        <x:v>All institutions</x:v>
      </x:c>
      <x:c r="C6" s="50" t="n">
        <x:f>'02_Raw_NISA'!C22</x:f>
        <x:v>12.4144</x:v>
      </x:c>
      <x:c r="D6" s="50" t="n">
        <x:f>'02_Raw_NISA'!D22</x:f>
        <x:v>4.9677</x:v>
      </x:c>
      <x:c r="E6" s="50" t="n">
        <x:f>'02_Raw_NISA'!E22</x:f>
        <x:v>17.3821</x:v>
      </x:c>
      <x:c r="F6" s="43" t="n">
        <x:f>C6/E6</x:f>
        <x:v>0.7142059935220716</x:v>
      </x:c>
      <x:c r="G6" s="43" t="n">
        <x:f>D6/E6</x:f>
        <x:v>0.2857940064779284</x:v>
      </x:c>
      <x:c r="H6" s="43"/>
      <x:c r="I6" t="str">
        <x:v>S03</x:v>
      </x:c>
    </x:row>
    <x:row r="7" ht="15" hidden="0" customHeight="1">
      <x:c r="A7" s="36" t="n">
        <x:f>'02_Raw_NISA'!A23</x:f>
        <x:v>2025</x:v>
      </x:c>
      <x:c r="B7" s="36" t="str">
        <x:f>'02_Raw_NISA'!B23</x:f>
        <x:v>All institutions</x:v>
      </x:c>
      <x:c r="C7" s="50" t="n">
        <x:f>'02_Raw_NISA'!C23</x:f>
        <x:v>12.5138</x:v>
      </x:c>
      <x:c r="D7" s="50" t="n">
        <x:f>'02_Raw_NISA'!D23</x:f>
        <x:v>6.2349</x:v>
      </x:c>
      <x:c r="E7" s="50" t="n">
        <x:f>'02_Raw_NISA'!E23</x:f>
        <x:v>18.7487</x:v>
      </x:c>
      <x:c r="F7" s="43" t="n">
        <x:f>C7/E7</x:f>
        <x:v>0.6674489431267234</x:v>
      </x:c>
      <x:c r="G7" s="43" t="n">
        <x:f>D7/E7</x:f>
        <x:v>0.3325510568732765</x:v>
      </x:c>
      <x:c r="H7" s="43" t="n">
        <x:f>E7/E6-1</x:f>
        <x:v>0.07862111022258511</x:v>
      </x:c>
      <x:c r="I7" t="str">
        <x:v>S03</x:v>
      </x:c>
    </x:row>
    <x:row r="8" ht="15" hidden="0" customHeight="1">
      <x:c r="A8" s="36" t="n">
        <x:f>'02_Raw_NISA'!A24</x:f>
        <x:v>2024</x:v>
      </x:c>
      <x:c r="B8" s="36" t="str">
        <x:f>'02_Raw_NISA'!B24</x:f>
        <x:v>Securities companies</x:v>
      </x:c>
      <x:c r="C8" s="50" t="n">
        <x:f>'02_Raw_NISA'!C24</x:f>
        <x:v>10.1785</x:v>
      </x:c>
      <x:c r="D8" s="50" t="n">
        <x:f>'02_Raw_NISA'!D24</x:f>
        <x:v>3.8662</x:v>
      </x:c>
      <x:c r="E8" s="50" t="n">
        <x:f>'02_Raw_NISA'!E24</x:f>
        <x:v>14.0447</x:v>
      </x:c>
      <x:c r="F8" s="43" t="n">
        <x:f>C8/E8</x:f>
        <x:v>0.7247217811701211</x:v>
      </x:c>
      <x:c r="G8" s="43" t="n">
        <x:f>D8/E8</x:f>
        <x:v>0.2752782188298789</x:v>
      </x:c>
      <x:c r="H8" s="43"/>
      <x:c r="I8" t="str">
        <x:v>S03</x:v>
      </x:c>
    </x:row>
    <x:row r="9" ht="15" hidden="0" customHeight="1">
      <x:c r="A9" s="36" t="n">
        <x:f>'02_Raw_NISA'!A25</x:f>
        <x:v>2025</x:v>
      </x:c>
      <x:c r="B9" s="36" t="str">
        <x:f>'02_Raw_NISA'!B25</x:f>
        <x:v>Securities companies</x:v>
      </x:c>
      <x:c r="C9" s="50" t="n">
        <x:f>'02_Raw_NISA'!C25</x:f>
        <x:v>10.531</x:v>
      </x:c>
      <x:c r="D9" s="50" t="n">
        <x:f>'02_Raw_NISA'!D25</x:f>
        <x:v>4.823</x:v>
      </x:c>
      <x:c r="E9" s="50" t="n">
        <x:f>'02_Raw_NISA'!E25</x:f>
        <x:v>15.354</x:v>
      </x:c>
      <x:c r="F9" s="43" t="n">
        <x:f>C9/E9</x:f>
        <x:v>0.685879901002996</x:v>
      </x:c>
      <x:c r="G9" s="43" t="n">
        <x:f>D9/E9</x:f>
        <x:v>0.3141200989970041</x:v>
      </x:c>
      <x:c r="H9" s="43" t="n">
        <x:f>E9/E8-1</x:f>
        <x:v>0.09322377836479223</x:v>
      </x:c>
      <x:c r="I9" t="str">
        <x:v>S03</x:v>
      </x:c>
    </x:row>
    <x:row r="10"/>
    <x:row r="11"/>
    <x:row r="12"/>
    <x:row r="13" ht="15" hidden="0" customHeight="1">
      <x:c r="A13" s="22" t="str">
        <x:v>B. 2025 product structure</x:v>
      </x:c>
      <x:c r="B13" s="22"/>
      <x:c r="C13" s="22"/>
      <x:c r="D13" s="22"/>
      <x:c r="E13" s="22"/>
      <x:c r="F13" s="22"/>
      <x:c r="G13" s="22"/>
      <x:c r="H13" s="22"/>
      <x:c r="I13" s="22"/>
    </x:row>
    <x:row r="14" ht="15" hidden="0" customHeight="1">
      <x:c r="A14" s="16" t="str">
        <x:v>Metric</x:v>
      </x:c>
      <x:c r="B14" s="16" t="str">
        <x:v>Value</x:v>
      </x:c>
      <x:c r="C14" s="16" t="str">
        <x:v>Unit</x:v>
      </x:c>
      <x:c r="D14" s="16" t="str">
        <x:v>Source ID</x:v>
      </x:c>
      <x:c r="E14" s="16" t="str">
        <x:v>Source URL</x:v>
      </x:c>
      <x:c r="F14" s="16" t="str">
        <x:v>Interpretation</x:v>
      </x:c>
      <x:c r="G14" s="16" t="str">
        <x:v>Universe</x:v>
      </x:c>
      <x:c r="H14" s="16" t="str">
        <x:v>Period</x:v>
      </x:c>
      <x:c r="I14" s="16" t="str">
        <x:v>Caveat</x:v>
      </x:c>
    </x:row>
    <x:row r="15" ht="26.399999618530273" hidden="0" customHeight="1">
      <x:c r="A15" t="str">
        <x:v>Overall purchase share - stocks</x:v>
      </x:c>
      <x:c r="B15" s="30" t="n">
        <x:v>0.33</x:v>
      </x:c>
      <x:c r="C15" t="str">
        <x:v>%</x:v>
      </x:c>
      <x:c r="D15" t="str">
        <x:v>S03</x:v>
      </x:c>
      <x:c r="E15" t="str">
        <x:v>https://www.jsda.or.jp/shiryoshitsu/toukei/files/nisajoukyou/new_nisaall2.pdf</x:v>
      </x:c>
      <x:c r="F15" s="18" t="str">
        <x:v>Funds are the majority of New NISA purchases.</x:v>
      </x:c>
      <x:c r="G15" s="18" t="str">
        <x:v>All institutions</x:v>
      </x:c>
      <x:c r="H15" s="18" t="str">
        <x:v>2025</x:v>
      </x:c>
      <x:c r="I15" s="18" t="str">
        <x:v>Stocks category includes listed shares/ETF/REIT per report definition.</x:v>
      </x:c>
    </x:row>
    <x:row r="16" ht="15" hidden="0" customHeight="1">
      <x:c r="A16" t="str">
        <x:v>Overall purchase share - investment funds</x:v>
      </x:c>
      <x:c r="B16" s="30" t="n">
        <x:v>0.67</x:v>
      </x:c>
      <x:c r="C16" t="str">
        <x:v>%</x:v>
      </x:c>
      <x:c r="D16" t="str">
        <x:v>S03</x:v>
      </x:c>
      <x:c r="E16" t="str">
        <x:v>https://www.jsda.or.jp/shiryoshitsu/toukei/files/nisajoukyou/new_nisaall2.pdf</x:v>
      </x:c>
      <x:c r="F16" s="18" t="str">
        <x:v>Funds dominate flow.</x:v>
      </x:c>
      <x:c r="G16" s="18" t="str">
        <x:v>All institutions</x:v>
      </x:c>
      <x:c r="H16" s="18" t="str">
        <x:v>2025</x:v>
      </x:c>
      <x:c r="I16" s="18" t="str"/>
    </x:row>
    <x:row r="17" ht="15" hidden="0" customHeight="1">
      <x:c r="A17" t="str">
        <x:v>Growth-quota share - stocks</x:v>
      </x:c>
      <x:c r="B17" s="30" t="n">
        <x:v>0.49</x:v>
      </x:c>
      <x:c r="C17" t="str">
        <x:v>%</x:v>
      </x:c>
      <x:c r="D17" t="str">
        <x:v>S03</x:v>
      </x:c>
      <x:c r="E17" t="str">
        <x:v>https://www.jsda.or.jp/shiryoshitsu/toukei/files/nisajoukyou/new_nisaall2.pdf</x:v>
      </x:c>
      <x:c r="F17" s="18" t="str">
        <x:v>Growth quota approximately balanced.</x:v>
      </x:c>
      <x:c r="G17" s="18" t="str">
        <x:v>All institutions</x:v>
      </x:c>
      <x:c r="H17" s="18" t="str">
        <x:v>2025</x:v>
      </x:c>
      <x:c r="I17" s="18" t="str"/>
    </x:row>
    <x:row r="18" ht="15" hidden="0" customHeight="1">
      <x:c r="A18" t="str">
        <x:v>Growth-quota share - investment funds</x:v>
      </x:c>
      <x:c r="B18" s="30" t="n">
        <x:v>0.51</x:v>
      </x:c>
      <x:c r="C18" t="str">
        <x:v>%</x:v>
      </x:c>
      <x:c r="D18" t="str">
        <x:v>S03</x:v>
      </x:c>
      <x:c r="E18" t="str">
        <x:v>https://www.jsda.or.jp/shiryoshitsu/toukei/files/nisajoukyou/new_nisaall2.pdf</x:v>
      </x:c>
      <x:c r="F18" s="18" t="str">
        <x:v>Growth quota approximately balanced.</x:v>
      </x:c>
      <x:c r="G18" s="18" t="str">
        <x:v>All institutions</x:v>
      </x:c>
      <x:c r="H18" s="18" t="str">
        <x:v>2025</x:v>
      </x:c>
      <x:c r="I18" s="18" t="str"/>
    </x:row>
    <x:row r="19" ht="15" hidden="0" customHeight="1">
      <x:c r="A19" t="str">
        <x:v>New NISA balance share - stocks</x:v>
      </x:c>
      <x:c r="B19" s="30" t="n">
        <x:v>0.26</x:v>
      </x:c>
      <x:c r="C19" t="str">
        <x:v>%</x:v>
      </x:c>
      <x:c r="D19" t="str">
        <x:v>S03</x:v>
      </x:c>
      <x:c r="E19" t="str">
        <x:v>https://www.jsda.or.jp/shiryoshitsu/toukei/files/nisajoukyou/new_nisaall2.pdf</x:v>
      </x:c>
      <x:c r="F19" s="18" t="str">
        <x:v>Funds dominate balances.</x:v>
      </x:c>
      <x:c r="G19" s="18" t="str">
        <x:v>All institutions</x:v>
      </x:c>
      <x:c r="H19" s="18" t="str">
        <x:v>2025 YE</x:v>
      </x:c>
      <x:c r="I19" s="18" t="str"/>
    </x:row>
    <x:row r="20" ht="15" hidden="0" customHeight="1">
      <x:c r="A20" t="str">
        <x:v>New NISA balance share - investment funds</x:v>
      </x:c>
      <x:c r="B20" s="30" t="n">
        <x:v>0.74</x:v>
      </x:c>
      <x:c r="C20" t="str">
        <x:v>%</x:v>
      </x:c>
      <x:c r="D20" t="str">
        <x:v>S03</x:v>
      </x:c>
      <x:c r="E20" t="str">
        <x:v>https://www.jsda.or.jp/shiryoshitsu/toukei/files/nisajoukyou/new_nisaall2.pdf</x:v>
      </x:c>
      <x:c r="F20" s="18" t="str">
        <x:v>Funds dominate balances.</x:v>
      </x:c>
      <x:c r="G20" s="18" t="str">
        <x:v>All institutions</x:v>
      </x:c>
      <x:c r="H20" s="18" t="str">
        <x:v>2025 YE</x:v>
      </x:c>
      <x:c r="I20" s="18" t="str"/>
    </x:row>
    <x:row r="21" ht="15" hidden="0" customHeight="1">
      <x:c r="A21" t="str">
        <x:v>Accumulation purchases - index funds</x:v>
      </x:c>
      <x:c r="B21" s="30" t="n">
        <x:v>0.877</x:v>
      </x:c>
      <x:c r="C21" t="str">
        <x:v>%</x:v>
      </x:c>
      <x:c r="D21" t="str">
        <x:v>S04</x:v>
      </x:c>
      <x:c r="E21" t="str">
        <x:v>https://www.jsda.or.jp/shiryoshitsu/toukei/shin-nisa-hakusyo/shin_nisa_hakusyo_2025.pdf</x:v>
      </x:c>
      <x:c r="F21" s="18" t="str">
        <x:v>Low-cost index access is central to recurring NISA.</x:v>
      </x:c>
      <x:c r="G21" s="18" t="str">
        <x:v>All institutions</x:v>
      </x:c>
      <x:c r="H21" s="18" t="str">
        <x:v>2025</x:v>
      </x:c>
      <x:c r="I21" s="18" t="str">
        <x:v>2024 corresponding share was 88.1%.</x:v>
      </x:c>
    </x:row>
    <x:row r="22" ht="15" hidden="0" customHeight="1">
      <x:c r="A22" t="str">
        <x:v>Accumulation purchases - active funds</x:v>
      </x:c>
      <x:c r="B22" s="30" t="n">
        <x:v>0.052</x:v>
      </x:c>
      <x:c r="C22" t="str">
        <x:v>%</x:v>
      </x:c>
      <x:c r="D22" t="str">
        <x:v>S04</x:v>
      </x:c>
      <x:c r="E22" t="str">
        <x:v>https://www.jsda.or.jp/shiryoshitsu/toukei/shin-nisa-hakusyo/shin_nisa_hakusyo_2025.pdf</x:v>
      </x:c>
      <x:c r="F22" s="18" t="str">
        <x:v>Active funds remain small.</x:v>
      </x:c>
      <x:c r="G22" s="18" t="str">
        <x:v>All institutions</x:v>
      </x:c>
      <x:c r="H22" s="18" t="str">
        <x:v>2025</x:v>
      </x:c>
      <x:c r="I22" s="18" t="str">
        <x:v>2024 corresponding share was 5.2%.</x:v>
      </x:c>
    </x:row>
    <x:row r="23"/>
    <x:row r="24"/>
    <x:row r="25" ht="15" hidden="0" customHeight="1">
      <x:c r="A25" s="22" t="str">
        <x:v>C. Strategic implication</x:v>
      </x:c>
      <x:c r="B25" s="22"/>
      <x:c r="C25" s="22"/>
      <x:c r="D25" s="22"/>
      <x:c r="E25" s="22"/>
      <x:c r="F25" s="22"/>
      <x:c r="G25" s="22"/>
      <x:c r="H25" s="22"/>
      <x:c r="I25" s="22"/>
    </x:row>
    <x:row r="26">
      <x:c r="A26" s="76" t="str">
        <x:v>The accumulation quota increased materially faster than the growth quota from 2024 to 2025, while index funds represented 87.7% of 2025 accumulation-quota purchases. Combined with higher accumulation shares among younger investors, this makes recurring-investment automation, low-cost funds, simple digital UX, card funding and retention strategically important.</x:v>
      </x:c>
      <x:c r="B26" s="76"/>
      <x:c r="C26" s="76"/>
      <x:c r="D26" s="76"/>
      <x:c r="E26" s="76"/>
      <x:c r="F26" s="76"/>
      <x:c r="G26" s="76"/>
      <x:c r="H26" s="76"/>
      <x:c r="I26" s="76"/>
    </x:row>
    <x:row r="27">
      <x:c r="A27" s="76"/>
      <x:c r="B27" s="76"/>
      <x:c r="C27" s="76"/>
      <x:c r="D27" s="76"/>
      <x:c r="E27" s="76"/>
      <x:c r="F27" s="76"/>
      <x:c r="G27" s="76"/>
      <x:c r="H27" s="76"/>
      <x:c r="I27" s="76"/>
    </x:row>
    <x:row r="28">
      <x:c r="A28" s="76"/>
      <x:c r="B28" s="76"/>
      <x:c r="C28" s="76"/>
      <x:c r="D28" s="76"/>
      <x:c r="E28" s="76"/>
      <x:c r="F28" s="76"/>
      <x:c r="G28" s="76"/>
      <x:c r="H28" s="76"/>
      <x:c r="I28" s="76"/>
    </x:row>
    <x:row r="29">
      <x:c r="A29" s="76"/>
      <x:c r="B29" s="76"/>
      <x:c r="C29" s="76"/>
      <x:c r="D29" s="76"/>
      <x:c r="E29" s="76"/>
      <x:c r="F29" s="76"/>
      <x:c r="G29" s="76"/>
      <x:c r="H29" s="76"/>
      <x:c r="I29" s="76"/>
    </x:row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I1"/>
    <x:mergeCell ref="A2:I2"/>
    <x:mergeCell ref="A4:I4"/>
    <x:mergeCell ref="A13:I13"/>
    <x:mergeCell ref="A25:I25"/>
    <x:mergeCell ref="A26:I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9" hidden="0" customWidth="1"/>
    <x:col min="9" max="9" width="49" hidden="0" customWidth="1"/>
    <x:col min="10" max="10" width="14" hidden="0" customWidth="1"/>
  </x:cols>
  <x:sheetData>
    <x:row r="1" ht="19.200000762939453" hidden="0" customHeight="1">
      <x:c r="A1" s="4" t="str">
        <x:v>06_HH_Assets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10" t="str">
        <x:v>Household evidence is consistent with a move toward market-linked assets, but stock changes cannot be equated with direct cash-to-NISA flows.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/>
    <x:row r="4" ht="15" hidden="0" customHeight="1">
      <x:c r="A4" s="22" t="str">
        <x:v>A. Latest revised BOJ total household financial assets</x:v>
      </x:c>
      <x:c r="B4" s="22"/>
      <x:c r="C4" s="22"/>
      <x:c r="D4" s="22"/>
      <x:c r="E4" s="22"/>
      <x:c r="F4" s="22"/>
      <x:c r="G4" s="22"/>
      <x:c r="H4" s="22"/>
    </x:row>
    <x:row r="5" ht="15" hidden="0" customHeight="1">
      <x:c r="A5" s="16" t="str">
        <x:v>Quarter End</x:v>
      </x:c>
      <x:c r="B5" s="16" t="str">
        <x:v>Total Financial Assets (¥tn)</x:v>
      </x:c>
      <x:c r="C5" s="16" t="str">
        <x:v>QoQ</x:v>
      </x:c>
      <x:c r="D5" s="16" t="str">
        <x:v>YoY</x:v>
      </x:c>
      <x:c r="E5" s="16" t="str">
        <x:v>Source ID</x:v>
      </x:c>
      <x:c r="F5" s="16" t="str">
        <x:v>Source URL</x:v>
      </x:c>
      <x:c r="G5" s="16" t="str">
        <x:v>Revision Status</x:v>
      </x:c>
      <x:c r="H5" s="16" t="str">
        <x:v>Use</x:v>
      </x:c>
    </x:row>
    <x:row r="6" ht="15" hidden="0" customHeight="1">
      <x:c r="A6" t="str">
        <x:v>2023-03</x:v>
      </x:c>
      <x:c r="B6" s="78" t="n">
        <x:v>2089.1764</x:v>
      </x:c>
      <x:c r="C6"/>
      <x:c r="D6"/>
      <x:c r="E6" t="str">
        <x:v>S09</x:v>
      </x:c>
      <x:c r="F6" t="str">
        <x:v>https://www.stat-search.boj.or.jp/ssi/mtshtml/ff_q_1_en.html</x:v>
      </x:c>
      <x:c r="G6" t="str">
        <x:v>Latest revised</x:v>
      </x:c>
      <x:c r="H6" t="str">
        <x:v>Context</x:v>
      </x:c>
    </x:row>
    <x:row r="7" ht="15" hidden="0" customHeight="1">
      <x:c r="A7" t="str">
        <x:v>2023-06</x:v>
      </x:c>
      <x:c r="B7" s="78" t="n">
        <x:v>2153.8871</x:v>
      </x:c>
      <x:c r="C7" s="43" t="n">
        <x:f>B7/B6-1</x:f>
        <x:v>0.030974263350859177</x:v>
      </x:c>
      <x:c r="D7" s="43"/>
      <x:c r="E7" t="str">
        <x:v>S09</x:v>
      </x:c>
      <x:c r="F7" t="str">
        <x:v>https://www.stat-search.boj.or.jp/ssi/mtshtml/ff_q_1_en.html</x:v>
      </x:c>
      <x:c r="G7" t="str">
        <x:v>Latest revised</x:v>
      </x:c>
      <x:c r="H7" t="str">
        <x:v>Context</x:v>
      </x:c>
    </x:row>
    <x:row r="8" ht="15" hidden="0" customHeight="1">
      <x:c r="A8" t="str">
        <x:v>2023-09</x:v>
      </x:c>
      <x:c r="B8" s="78" t="n">
        <x:v>2160.4384</x:v>
      </x:c>
      <x:c r="C8" s="43" t="n">
        <x:f>B8/B7-1</x:f>
        <x:v>0.003041617176684941</x:v>
      </x:c>
      <x:c r="D8" s="43"/>
      <x:c r="E8" t="str">
        <x:v>S09</x:v>
      </x:c>
      <x:c r="F8" t="str">
        <x:v>https://www.stat-search.boj.or.jp/ssi/mtshtml/ff_q_1_en.html</x:v>
      </x:c>
      <x:c r="G8" t="str">
        <x:v>Latest revised</x:v>
      </x:c>
      <x:c r="H8" t="str">
        <x:v>Context</x:v>
      </x:c>
    </x:row>
    <x:row r="9" ht="15" hidden="0" customHeight="1">
      <x:c r="A9" t="str">
        <x:v>2023-12</x:v>
      </x:c>
      <x:c r="B9" s="78" t="n">
        <x:v>2171.9727</x:v>
      </x:c>
      <x:c r="C9" s="43" t="n">
        <x:f>B9/B8-1</x:f>
        <x:v>0.005338870110807026</x:v>
      </x:c>
      <x:c r="D9" s="43"/>
      <x:c r="E9" t="str">
        <x:v>S09</x:v>
      </x:c>
      <x:c r="F9" t="str">
        <x:v>https://www.stat-search.boj.or.jp/ssi/mtshtml/ff_q_1_en.html</x:v>
      </x:c>
      <x:c r="G9" t="str">
        <x:v>Latest revised</x:v>
      </x:c>
      <x:c r="H9" t="str">
        <x:v>Pre-reform YE</x:v>
      </x:c>
    </x:row>
    <x:row r="10" ht="15" hidden="0" customHeight="1">
      <x:c r="A10" t="str">
        <x:v>2024-03</x:v>
      </x:c>
      <x:c r="B10" s="78" t="n">
        <x:v>2207.5354</x:v>
      </x:c>
      <x:c r="C10" s="43" t="n">
        <x:f>B10/B9-1</x:f>
        <x:v>0.016373456259372032</x:v>
      </x:c>
      <x:c r="D10" s="43" t="n">
        <x:f>B10/B6-1</x:f>
        <x:v>0.056653425723170336</x:v>
      </x:c>
      <x:c r="E10" t="str">
        <x:v>S09</x:v>
      </x:c>
      <x:c r="F10" t="str">
        <x:v>https://www.stat-search.boj.or.jp/ssi/mtshtml/ff_q_1_en.html</x:v>
      </x:c>
      <x:c r="G10" t="str">
        <x:v>Latest revised</x:v>
      </x:c>
      <x:c r="H10" t="str">
        <x:v>Q1 post-reform</x:v>
      </x:c>
    </x:row>
    <x:row r="11" ht="15" hidden="0" customHeight="1">
      <x:c r="A11" t="str">
        <x:v>2024-06</x:v>
      </x:c>
      <x:c r="B11" s="78" t="n">
        <x:v>2237.3704</x:v>
      </x:c>
      <x:c r="C11" s="43" t="n">
        <x:f>B11/B10-1</x:f>
        <x:v>0.013515072057281419</x:v>
      </x:c>
      <x:c r="D11" s="43" t="n">
        <x:f>B11/B7-1</x:f>
        <x:v>0.03875936672818181</x:v>
      </x:c>
      <x:c r="E11" t="str">
        <x:v>S09</x:v>
      </x:c>
      <x:c r="F11" t="str">
        <x:v>https://www.stat-search.boj.or.jp/ssi/mtshtml/ff_q_1_en.html</x:v>
      </x:c>
      <x:c r="G11" t="str">
        <x:v>Latest revised</x:v>
      </x:c>
      <x:c r="H11" t="str"/>
    </x:row>
    <x:row r="12" ht="15" hidden="0" customHeight="1">
      <x:c r="A12" t="str">
        <x:v>2024-09</x:v>
      </x:c>
      <x:c r="B12" s="78" t="n">
        <x:v>2197.4108</x:v>
      </x:c>
      <x:c r="C12" s="43" t="n">
        <x:f>B12/B11-1</x:f>
        <x:v>-0.017860073593536252</x:v>
      </x:c>
      <x:c r="D12" s="43" t="n">
        <x:f>B12/B8-1</x:f>
        <x:v>0.017113378469851392</x:v>
      </x:c>
      <x:c r="E12" t="str">
        <x:v>S09</x:v>
      </x:c>
      <x:c r="F12" t="str">
        <x:v>https://www.stat-search.boj.or.jp/ssi/mtshtml/ff_q_1_en.html</x:v>
      </x:c>
      <x:c r="G12" t="str">
        <x:v>Latest revised</x:v>
      </x:c>
      <x:c r="H12" t="str"/>
    </x:row>
    <x:row r="13" ht="15" hidden="0" customHeight="1">
      <x:c r="A13" t="str">
        <x:v>2024-12</x:v>
      </x:c>
      <x:c r="B13" s="78" t="n">
        <x:v>2246.8724</x:v>
      </x:c>
      <x:c r="C13" s="43" t="n">
        <x:f>B13/B12-1</x:f>
        <x:v>0.022509036544282157</x:v>
      </x:c>
      <x:c r="D13" s="43" t="n">
        <x:f>B13/B9-1</x:f>
        <x:v>0.03448464154268627</x:v>
      </x:c>
      <x:c r="E13" t="str">
        <x:v>S09</x:v>
      </x:c>
      <x:c r="F13" t="str">
        <x:v>https://www.stat-search.boj.or.jp/ssi/mtshtml/ff_q_1_en.html</x:v>
      </x:c>
      <x:c r="G13" t="str">
        <x:v>Latest revised</x:v>
      </x:c>
      <x:c r="H13" t="str">
        <x:v>Post-reform YE</x:v>
      </x:c>
    </x:row>
    <x:row r="14" ht="15" hidden="0" customHeight="1">
      <x:c r="A14" t="str">
        <x:v>2025-03</x:v>
      </x:c>
      <x:c r="B14" s="78" t="n">
        <x:v>2226.7768</x:v>
      </x:c>
      <x:c r="C14" s="43" t="n">
        <x:f>B14/B13-1</x:f>
        <x:v>-0.008943810071279534</x:v>
      </x:c>
      <x:c r="D14" s="43" t="n">
        <x:f>B14/B10-1</x:f>
        <x:v>0.00871623621528328</x:v>
      </x:c>
      <x:c r="E14" t="str">
        <x:v>S09</x:v>
      </x:c>
      <x:c r="F14" t="str">
        <x:v>https://www.stat-search.boj.or.jp/ssi/mtshtml/ff_q_1_en.html</x:v>
      </x:c>
      <x:c r="G14" t="str">
        <x:v>Latest revised</x:v>
      </x:c>
      <x:c r="H14" t="str"/>
    </x:row>
    <x:row r="15" ht="15" hidden="0" customHeight="1">
      <x:c r="A15" t="str">
        <x:v>2025-06</x:v>
      </x:c>
      <x:c r="B15" s="78" t="n">
        <x:v>2269.3203</x:v>
      </x:c>
      <x:c r="C15" s="43" t="n">
        <x:f>B15/B14-1</x:f>
        <x:v>0.01910541730091664</x:v>
      </x:c>
      <x:c r="D15" s="43" t="n">
        <x:f>B15/B11-1</x:f>
        <x:v>0.014280112045819582</x:v>
      </x:c>
      <x:c r="E15" t="str">
        <x:v>S09</x:v>
      </x:c>
      <x:c r="F15" t="str">
        <x:v>https://www.stat-search.boj.or.jp/ssi/mtshtml/ff_q_1_en.html</x:v>
      </x:c>
      <x:c r="G15" t="str">
        <x:v>Latest revised</x:v>
      </x:c>
      <x:c r="H15" t="str"/>
    </x:row>
    <x:row r="16" ht="15" hidden="0" customHeight="1">
      <x:c r="A16" t="str">
        <x:v>2025-09</x:v>
      </x:c>
      <x:c r="B16" s="78" t="n">
        <x:v>2319.5593</x:v>
      </x:c>
      <x:c r="C16" s="43" t="n">
        <x:f>B16/B15-1</x:f>
        <x:v>0.022138346887391913</x:v>
      </x:c>
      <x:c r="D16" s="43" t="n">
        <x:f>B16/B12-1</x:f>
        <x:v>0.055587466849621237</x:v>
      </x:c>
      <x:c r="E16" t="str">
        <x:v>S09</x:v>
      </x:c>
      <x:c r="F16" t="str">
        <x:v>https://www.stat-search.boj.or.jp/ssi/mtshtml/ff_q_1_en.html</x:v>
      </x:c>
      <x:c r="G16" t="str">
        <x:v>Latest revised</x:v>
      </x:c>
      <x:c r="H16" t="str"/>
    </x:row>
    <x:row r="17" ht="15" hidden="0" customHeight="1">
      <x:c r="A17" t="str">
        <x:v>2025-12</x:v>
      </x:c>
      <x:c r="B17" s="78" t="n">
        <x:v>2394.0784</x:v>
      </x:c>
      <x:c r="C17" s="43" t="n">
        <x:f>B17/B16-1</x:f>
        <x:v>0.03212640435620684</x:v>
      </x:c>
      <x:c r="D17" s="43" t="n">
        <x:f>B17/B13-1</x:f>
        <x:v>0.06551595898369644</x:v>
      </x:c>
      <x:c r="E17" t="str">
        <x:v>S09</x:v>
      </x:c>
      <x:c r="F17" t="str">
        <x:v>https://www.stat-search.boj.or.jp/ssi/mtshtml/ff_q_1_en.html</x:v>
      </x:c>
      <x:c r="G17" t="str">
        <x:v>Latest revised</x:v>
      </x:c>
      <x:c r="H17" t="str">
        <x:v>Post-reform YE</x:v>
      </x:c>
    </x:row>
    <x:row r="18" ht="15" hidden="0" customHeight="1">
      <x:c r="A18" t="str">
        <x:v>2026-03</x:v>
      </x:c>
      <x:c r="B18" s="78" t="n">
        <x:v>2385.6622</x:v>
      </x:c>
      <x:c r="C18" s="43" t="n">
        <x:f>B18/B17-1</x:f>
        <x:v>-0.0035154237221303175</x:v>
      </x:c>
      <x:c r="D18" s="43" t="n">
        <x:f>B18/B14-1</x:f>
        <x:v>0.07135218940667976</x:v>
      </x:c>
      <x:c r="E18" t="str">
        <x:v>S09</x:v>
      </x:c>
      <x:c r="F18" t="str">
        <x:v>https://www.stat-search.boj.or.jp/ssi/mtshtml/ff_q_1_en.html</x:v>
      </x:c>
      <x:c r="G18" t="str">
        <x:v>Latest revised</x:v>
      </x:c>
      <x:c r="H18" t="str">
        <x:v>Latest context</x:v>
      </x:c>
    </x:row>
    <x:row r="19"/>
    <x:row r="20"/>
    <x:row r="21" ht="15" hidden="0" customHeight="1">
      <x:c r="A21" s="22" t="str">
        <x:v>B. Asset-composition snapshots</x:v>
      </x:c>
      <x:c r="B21" s="22"/>
      <x:c r="C21" s="22"/>
      <x:c r="D21" s="22"/>
      <x:c r="E21" s="22"/>
      <x:c r="F21" s="22"/>
      <x:c r="G21" s="22"/>
      <x:c r="H21" s="22"/>
      <x:c r="I21" s="22"/>
    </x:row>
    <x:row r="22" ht="15" hidden="0" customHeight="1">
      <x:c r="A22" s="16" t="str">
        <x:v>Snapshot</x:v>
      </x:c>
      <x:c r="B22" s="16" t="str">
        <x:v>Cash &amp; Deposits</x:v>
      </x:c>
      <x:c r="C22" s="16" t="str">
        <x:v>Debt Securities</x:v>
      </x:c>
      <x:c r="D22" s="16" t="str">
        <x:v>Investment Trusts</x:v>
      </x:c>
      <x:c r="E22" s="16" t="str">
        <x:v>Equity</x:v>
      </x:c>
      <x:c r="F22" s="16" t="str">
        <x:v>Insurance/Pension</x:v>
      </x:c>
      <x:c r="G22" s="16" t="str">
        <x:v>Equity + Funds</x:v>
      </x:c>
      <x:c r="H22" s="16" t="str">
        <x:v>Source ID</x:v>
      </x:c>
      <x:c r="I22" s="16" t="str">
        <x:v>Vintage / Caveat</x:v>
      </x:c>
    </x:row>
    <x:row r="23" ht="15" hidden="0" customHeight="1">
      <x:c r="A23" t="str">
        <x:v>2023-12</x:v>
      </x:c>
      <x:c r="B23" s="30" t="n">
        <x:v>0.526</x:v>
      </x:c>
      <x:c r="C23" s="30" t="n">
        <x:v>0.013</x:v>
      </x:c>
      <x:c r="D23" s="30" t="n">
        <x:v>0.05</x:v>
      </x:c>
      <x:c r="E23" s="30" t="n">
        <x:v>0.129</x:v>
      </x:c>
      <x:c r="F23" s="30" t="n">
        <x:v>0.251</x:v>
      </x:c>
      <x:c r="G23" s="43" t="n">
        <x:f>D23+E23</x:f>
        <x:v>0.179</x:v>
      </x:c>
      <x:c r="H23" t="str">
        <x:v>S11</x:v>
      </x:c>
      <x:c r="I23" s="18" t="str">
        <x:v>Pre-reform BOJ snapshot.</x:v>
      </x:c>
    </x:row>
    <x:row r="24" ht="15" hidden="0" customHeight="1">
      <x:c r="A24" t="str">
        <x:v>2024-03</x:v>
      </x:c>
      <x:c r="B24" s="30" t="n">
        <x:v>0.512</x:v>
      </x:c>
      <x:c r="C24" s="30" t="n">
        <x:v>0.013</x:v>
      </x:c>
      <x:c r="D24" s="30" t="n">
        <x:v>0.055</x:v>
      </x:c>
      <x:c r="E24" s="30" t="n">
        <x:v>0.137</x:v>
      </x:c>
      <x:c r="F24" s="30" t="n">
        <x:v>0.248</x:v>
      </x:c>
      <x:c r="G24" s="43" t="n">
        <x:f>D24+E24</x:f>
        <x:v>0.192</x:v>
      </x:c>
      <x:c r="H24" t="str">
        <x:v>S12</x:v>
      </x:c>
      <x:c r="I24" s="18" t="str">
        <x:v>Q1 post-reform; market valuation material.</x:v>
      </x:c>
    </x:row>
    <x:row r="25" ht="26.399999618530273" hidden="0" customHeight="1">
      <x:c r="A25" t="str">
        <x:v>2025-09</x:v>
      </x:c>
      <x:c r="B25" s="30" t="n">
        <x:v>0.49</x:v>
      </x:c>
      <x:c r="C25" s="30" t="n">
        <x:v>0.02</x:v>
      </x:c>
      <x:c r="D25" s="30" t="n">
        <x:v>0.07</x:v>
      </x:c>
      <x:c r="E25" s="30" t="n">
        <x:v>0.15</x:v>
      </x:c>
      <x:c r="F25" s="30" t="n">
        <x:v>0.25</x:v>
      </x:c>
      <x:c r="G25" s="43" t="n">
        <x:f>D25+E25</x:f>
        <x:v>0.22</x:v>
      </x:c>
      <x:c r="H25" t="str">
        <x:v>S10</x:v>
      </x:c>
      <x:c r="I25" s="18" t="str">
        <x:v>FSA/BOJ-based end-Sep 2025 composition snapshot. Rounded whole-percentage shares.</x:v>
      </x:c>
    </x:row>
    <x:row r="26"/>
    <x:row r="27"/>
    <x:row r="28" ht="15" hidden="0" customHeight="1">
      <x:c r="A28" s="22" t="str">
        <x:v>C. FSA broad market-linked asset proxy</x:v>
      </x:c>
      <x:c r="B28" s="22"/>
      <x:c r="C28" s="22"/>
      <x:c r="D28" s="22"/>
      <x:c r="E28" s="22"/>
      <x:c r="F28" s="22"/>
      <x:c r="G28" s="22"/>
      <x:c r="H28" s="22"/>
    </x:row>
    <x:row r="29" ht="21.600000381469727" hidden="0" customHeight="1">
      <x:c r="A29" s="16" t="str">
        <x:v>Year</x:v>
      </x:c>
      <x:c r="B29" s="16" t="str">
        <x:v>Broad Market-Linked Share</x:v>
      </x:c>
      <x:c r="C29" s="16" t="str">
        <x:v>Household Assets (¥tn, rounded)</x:v>
      </x:c>
      <x:c r="D29" s="16" t="str">
        <x:v>Source ID</x:v>
      </x:c>
      <x:c r="E29" s="16" t="str">
        <x:v>Source URL</x:v>
      </x:c>
      <x:c r="F29" s="16" t="str">
        <x:v>Definition</x:v>
      </x:c>
      <x:c r="G29" s="16" t="str">
        <x:v>Interpretation</x:v>
      </x:c>
      <x:c r="H29" s="16" t="str">
        <x:v>Caveat</x:v>
      </x:c>
    </x:row>
    <x:row r="30" ht="39.599998474121094" hidden="0" customHeight="1">
      <x:c r="A30" t="n">
        <x:v>2022</x:v>
      </x:c>
      <x:c r="B30" s="30" t="n">
        <x:v>0.168</x:v>
      </x:c>
      <x:c r="C30" s="32" t="n">
        <x:v>2037</x:v>
      </x:c>
      <x:c r="D30" t="str">
        <x:v>S13</x:v>
      </x:c>
      <x:c r="E30" t="str">
        <x:v>https://www.fsa.go.jp/common/conference/danwa/20250521.pdf</x:v>
      </x:c>
      <x:c r="F30" s="18" t="str">
        <x:v>Stocks + funds + bonds + foreign securities + other equity</x:v>
      </x:c>
      <x:c r="G30" s="18" t="str">
        <x:v>Pre-reform benchmark</x:v>
      </x:c>
      <x:c r="H30" s="18" t="str">
        <x:v>Broad proxy.</x:v>
      </x:c>
    </x:row>
    <x:row r="31" ht="15" hidden="0" customHeight="1">
      <x:c r="A31" t="n">
        <x:v>2023</x:v>
      </x:c>
      <x:c r="B31" s="30" t="n">
        <x:v>0.201</x:v>
      </x:c>
      <x:c r="C31" s="32" t="n">
        <x:v>2144</x:v>
      </x:c>
      <x:c r="D31" t="str">
        <x:v>S13</x:v>
      </x:c>
      <x:c r="E31" t="str">
        <x:v>https://www.fsa.go.jp/common/conference/danwa/20250521.pdf</x:v>
      </x:c>
      <x:c r="F31" s="18" t="str">
        <x:v>Same</x:v>
      </x:c>
      <x:c r="G31" s="18" t="str">
        <x:v>Rising before reform</x:v>
      </x:c>
      <x:c r="H31" s="18" t="str">
        <x:v>Includes valuation.</x:v>
      </x:c>
    </x:row>
    <x:row r="32" ht="26.399999618530273" hidden="0" customHeight="1">
      <x:c r="A32" t="n">
        <x:v>2024</x:v>
      </x:c>
      <x:c r="B32" s="30" t="n">
        <x:v>0.224</x:v>
      </x:c>
      <x:c r="C32" s="32" t="n">
        <x:v>2230</x:v>
      </x:c>
      <x:c r="D32" t="str">
        <x:v>S13</x:v>
      </x:c>
      <x:c r="E32" t="str">
        <x:v>https://www.fsa.go.jp/common/conference/danwa/20250521.pdf</x:v>
      </x:c>
      <x:c r="F32" s="18" t="str">
        <x:v>Same</x:v>
      </x:c>
      <x:c r="G32" s="18" t="str">
        <x:v>Continued post-reform increase</x:v>
      </x:c>
      <x:c r="H32" s="18" t="str">
        <x:v>Cannot isolate NISA.</x:v>
      </x:c>
    </x:row>
    <x:row r="33"/>
    <x:row r="34"/>
    <x:row r="35" ht="15" hidden="0" customHeight="1">
      <x:c r="A35" s="22" t="str">
        <x:v>D. Interpretation</x:v>
      </x:c>
      <x:c r="B35" s="22"/>
      <x:c r="C35" s="22"/>
      <x:c r="D35" s="22"/>
      <x:c r="E35" s="22"/>
      <x:c r="F35" s="22"/>
      <x:c r="G35" s="22"/>
      <x:c r="H35" s="22"/>
    </x:row>
    <x:row r="36" ht="15" hidden="0" customHeight="1">
      <x:c r="A36" s="16" t="str">
        <x:v>Question</x:v>
      </x:c>
      <x:c r="B36" s="16" t="str">
        <x:v>Conclusion</x:v>
      </x:c>
      <x:c r="C36" s="16" t="str">
        <x:v>Evidence</x:v>
      </x:c>
      <x:c r="D36" s="16" t="str">
        <x:v>Why Appropriate</x:v>
      </x:c>
      <x:c r="E36" s="16" t="str">
        <x:v>Source IDs</x:v>
      </x:c>
      <x:c r="F36" s="16" t="str"/>
      <x:c r="G36" s="16" t="str"/>
      <x:c r="H36" s="16" t="str"/>
    </x:row>
    <x:row r="37" ht="52.79999923706055" hidden="0" customHeight="1">
      <x:c r="A37" s="18" t="str">
        <x:v>Did household portfolios move toward market-linked assets?</x:v>
      </x:c>
      <x:c r="B37" s="18" t="str">
        <x:v>Yes, directionally.</x:v>
      </x:c>
      <x:c r="C37" s="18" t="str">
        <x:v>Cash/deposit share fell; funds/equities and the broad market-linked share rose.</x:v>
      </x:c>
      <x:c r="D37" s="18" t="str">
        <x:v>Independent official measures point the same way.</x:v>
      </x:c>
      <x:c r="E37" s="18" t="str">
        <x:v>S10-S13</x:v>
      </x:c>
      <x:c r="F37" s="18" t="str"/>
      <x:c r="G37" s="18" t="str"/>
      <x:c r="H37" s="18" t="str"/>
    </x:row>
    <x:row r="38" ht="52.79999923706055" hidden="0" customHeight="1">
      <x:c r="A38" s="18" t="str">
        <x:v>Did New NISA cause a specific yen amount to move from deposits?</x:v>
      </x:c>
      <x:c r="B38" s="18" t="str">
        <x:v>Not established.</x:v>
      </x:c>
      <x:c r="C38" s="18" t="str">
        <x:v>Stock changes include transactions, valuation and reconciliation; equities also rallied.</x:v>
      </x:c>
      <x:c r="D38" s="18" t="str">
        <x:v>A direct cash-transfer claim would overstate identification.</x:v>
      </x:c>
      <x:c r="E38" s="18" t="str">
        <x:v>S10-S13;S17</x:v>
      </x:c>
      <x:c r="F38" s="18" t="str"/>
      <x:c r="G38" s="18" t="str"/>
      <x:c r="H38" s="18" t="str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J1"/>
    <x:mergeCell ref="A2:J2"/>
    <x:mergeCell ref="A4:H4"/>
    <x:mergeCell ref="A21:I21"/>
    <x:mergeCell ref="A28:H28"/>
    <x:mergeCell ref="A35:H3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9" hidden="0" customWidth="1"/>
    <x:col min="3" max="3" width="18" hidden="0" customWidth="1"/>
    <x:col min="4" max="4" width="14" hidden="0" customWidth="1"/>
    <x:col min="5" max="5" width="18" hidden="0" customWidth="1"/>
    <x:col min="6" max="6" width="14" hidden="0" customWidth="1"/>
    <x:col min="7" max="7" width="58" hidden="0" customWidth="1"/>
    <x:col min="8" max="8" width="42" hidden="0" customWidth="1"/>
    <x:col min="9" max="9" width="47" hidden="0" customWidth="1"/>
  </x:cols>
  <x:sheetData>
    <x:row r="1" ht="19.200000762939453" hidden="0" customHeight="1">
      <x:c r="A1" s="4" t="str">
        <x:v>07_Survey_Context</x:v>
      </x:c>
      <x:c r="B1" s="4"/>
      <x:c r="C1" s="4"/>
      <x:c r="D1" s="4"/>
      <x:c r="E1" s="4"/>
      <x:c r="F1" s="4"/>
      <x:c r="G1" s="4"/>
      <x:c r="H1" s="4"/>
      <x:c r="I1" s="4"/>
    </x:row>
    <x:row r="2" ht="15" hidden="0" customHeight="1">
      <x:c r="A2" s="10" t="str">
        <x:v>Survey evidence supports interpretation only; it is not used as a substitute for national account, flow or balance-sheet statistics.</x:v>
      </x:c>
      <x:c r="B2" s="10"/>
      <x:c r="C2" s="10"/>
      <x:c r="D2" s="10"/>
      <x:c r="E2" s="10"/>
      <x:c r="F2" s="10"/>
      <x:c r="G2" s="10"/>
      <x:c r="H2" s="10"/>
      <x:c r="I2" s="10"/>
    </x:row>
    <x:row r="3"/>
    <x:row r="4" ht="15" hidden="0" customHeight="1">
      <x:c r="A4" s="22" t="str">
        <x:v>A. Funding sources for New NISA purchases</x:v>
      </x:c>
      <x:c r="B4" s="22"/>
      <x:c r="C4" s="22"/>
      <x:c r="D4" s="22"/>
      <x:c r="E4" s="22"/>
      <x:c r="F4" s="22"/>
      <x:c r="G4" s="22"/>
      <x:c r="H4" s="22"/>
      <x:c r="I4" s="22"/>
    </x:row>
    <x:row r="5" ht="21.600000381469727" hidden="0" customHeight="1">
      <x:c r="A5" s="16" t="str">
        <x:v>Funding Source</x:v>
      </x:c>
      <x:c r="B5" s="16" t="str">
        <x:v>Share</x:v>
      </x:c>
      <x:c r="C5" s="16" t="str">
        <x:v>Respondents (if disclosed)</x:v>
      </x:c>
      <x:c r="D5" s="16" t="str">
        <x:v>Survey N</x:v>
      </x:c>
      <x:c r="E5" s="16" t="str">
        <x:v>Multiple Response?</x:v>
      </x:c>
      <x:c r="F5" s="16" t="str">
        <x:v>Source ID</x:v>
      </x:c>
      <x:c r="G5" s="16" t="str">
        <x:v>Source URL</x:v>
      </x:c>
      <x:c r="H5" s="16" t="str">
        <x:v>Interpretation</x:v>
      </x:c>
      <x:c r="I5" s="16" t="str">
        <x:v>Caveat</x:v>
      </x:c>
    </x:row>
    <x:row r="6" ht="26.399999618530273" hidden="0" customHeight="1">
      <x:c r="A6" t="str">
        <x:v>Deposits / salary / pension</x:v>
      </x:c>
      <x:c r="B6" s="30" t="n">
        <x:v>0.749</x:v>
      </x:c>
      <x:c r="C6" s="80" t="n">
        <x:v>5700</x:v>
      </x:c>
      <x:c r="D6" t="n">
        <x:v>7610</x:v>
      </x:c>
      <x:c r="E6" t="str">
        <x:v>Yes</x:v>
      </x:c>
      <x:c r="F6" t="str">
        <x:v>S32</x:v>
      </x:c>
      <x:c r="G6" t="str">
        <x:v>https://www.jsda.or.jp/houdou/2025/20250212_nisa.pdf</x:v>
      </x:c>
      <x:c r="H6" s="18" t="str">
        <x:v>Most common source; consistent with new household funds entering NISA.</x:v>
      </x:c>
      <x:c r="I6" s="18" t="str">
        <x:v>Category mixes deposits with current income/pension; cannot quantify deposit outflows.</x:v>
      </x:c>
    </x:row>
    <x:row r="7" ht="15" hidden="0" customHeight="1">
      <x:c r="A7" t="str">
        <x:v>Dividends / interest</x:v>
      </x:c>
      <x:c r="B7" s="30" t="n">
        <x:v>0.183</x:v>
      </x:c>
      <x:c r="C7" s="80"/>
      <x:c r="D7" t="n">
        <x:v>7610</x:v>
      </x:c>
      <x:c r="E7" t="str">
        <x:v>Yes</x:v>
      </x:c>
      <x:c r="F7" t="str">
        <x:v>S32</x:v>
      </x:c>
      <x:c r="G7" t="str">
        <x:v>https://www.jsda.or.jp/houdou/2025/20250212_nisa.pdf</x:v>
      </x:c>
      <x:c r="H7" s="18" t="str">
        <x:v>Reinvestment source.</x:v>
      </x:c>
      <x:c r="I7" s="18" t="str"/>
    </x:row>
    <x:row r="8" ht="15" hidden="0" customHeight="1">
      <x:c r="A8" t="str">
        <x:v>Sale of old-NISA holdings</x:v>
      </x:c>
      <x:c r="B8" s="30" t="n">
        <x:v>0.128</x:v>
      </x:c>
      <x:c r="C8" s="80"/>
      <x:c r="D8" t="n">
        <x:v>7610</x:v>
      </x:c>
      <x:c r="E8" t="str">
        <x:v>Yes</x:v>
      </x:c>
      <x:c r="F8" t="str">
        <x:v>S32</x:v>
      </x:c>
      <x:c r="G8" t="str">
        <x:v>https://www.jsda.or.jp/houdou/2025/20250212_nisa.pdf</x:v>
      </x:c>
      <x:c r="H8" s="18" t="str">
        <x:v>Portfolio recycling.</x:v>
      </x:c>
      <x:c r="I8" s="18" t="str"/>
    </x:row>
    <x:row r="9" ht="15" hidden="0" customHeight="1">
      <x:c r="A9" t="str">
        <x:v>Sale of taxable-account holdings</x:v>
      </x:c>
      <x:c r="B9" s="30" t="n">
        <x:v>0.112</x:v>
      </x:c>
      <x:c r="C9" s="80"/>
      <x:c r="D9" t="n">
        <x:v>7610</x:v>
      </x:c>
      <x:c r="E9" t="str">
        <x:v>Yes</x:v>
      </x:c>
      <x:c r="F9" t="str">
        <x:v>S32</x:v>
      </x:c>
      <x:c r="G9" t="str">
        <x:v>https://www.jsda.or.jp/houdou/2025/20250212_nisa.pdf</x:v>
      </x:c>
      <x:c r="H9" s="18" t="str">
        <x:v>Portfolio recycling.</x:v>
      </x:c>
      <x:c r="I9" s="18" t="str"/>
    </x:row>
    <x:row r="10" ht="15" hidden="0" customHeight="1">
      <x:c r="A10" t="str">
        <x:v>Inheritance</x:v>
      </x:c>
      <x:c r="B10" s="30" t="n">
        <x:v>0.06</x:v>
      </x:c>
      <x:c r="C10" s="80"/>
      <x:c r="D10" t="n">
        <x:v>7610</x:v>
      </x:c>
      <x:c r="E10" t="str">
        <x:v>Yes</x:v>
      </x:c>
      <x:c r="F10" t="str">
        <x:v>S32</x:v>
      </x:c>
      <x:c r="G10" t="str">
        <x:v>https://www.jsda.or.jp/houdou/2025/20250212_nisa.pdf</x:v>
      </x:c>
      <x:c r="H10" s="18" t="str">
        <x:v>Other source.</x:v>
      </x:c>
      <x:c r="I10" s="18" t="str"/>
    </x:row>
    <x:row r="11" ht="15" hidden="0" customHeight="1">
      <x:c r="A11" t="str">
        <x:v>MRF funds</x:v>
      </x:c>
      <x:c r="B11" s="30" t="n">
        <x:v>0.059</x:v>
      </x:c>
      <x:c r="C11" s="80"/>
      <x:c r="D11" t="n">
        <x:v>7610</x:v>
      </x:c>
      <x:c r="E11" t="str">
        <x:v>Yes</x:v>
      </x:c>
      <x:c r="F11" t="str">
        <x:v>S32</x:v>
      </x:c>
      <x:c r="G11" t="str">
        <x:v>https://www.jsda.or.jp/houdou/2025/20250212_nisa.pdf</x:v>
      </x:c>
      <x:c r="H11" s="18" t="str">
        <x:v>Cash-like securities-account funding.</x:v>
      </x:c>
      <x:c r="I11" s="18" t="str"/>
    </x:row>
    <x:row r="12" ht="15" hidden="0" customHeight="1">
      <x:c r="A12" t="str">
        <x:v>Retirement payment</x:v>
      </x:c>
      <x:c r="B12" s="30" t="n">
        <x:v>0.053</x:v>
      </x:c>
      <x:c r="C12" s="80"/>
      <x:c r="D12" t="n">
        <x:v>7610</x:v>
      </x:c>
      <x:c r="E12" t="str">
        <x:v>Yes</x:v>
      </x:c>
      <x:c r="F12" t="str">
        <x:v>S32</x:v>
      </x:c>
      <x:c r="G12" t="str">
        <x:v>https://www.jsda.or.jp/houdou/2025/20250212_nisa.pdf</x:v>
      </x:c>
      <x:c r="H12" s="18" t="str">
        <x:v>Other source.</x:v>
      </x:c>
      <x:c r="I12" s="18" t="str"/>
    </x:row>
    <x:row r="13" ht="15" hidden="0" customHeight="1">
      <x:c r="A13" t="str">
        <x:v>Other</x:v>
      </x:c>
      <x:c r="B13" s="30" t="n">
        <x:v>0.014</x:v>
      </x:c>
      <x:c r="C13" s="80"/>
      <x:c r="D13" t="n">
        <x:v>7610</x:v>
      </x:c>
      <x:c r="E13" t="str">
        <x:v>Yes</x:v>
      </x:c>
      <x:c r="F13" t="str">
        <x:v>S32</x:v>
      </x:c>
      <x:c r="G13" t="str">
        <x:v>https://www.jsda.or.jp/houdou/2025/20250212_nisa.pdf</x:v>
      </x:c>
      <x:c r="H13" s="18" t="str">
        <x:v>Other.</x:v>
      </x:c>
      <x:c r="I13" s="18" t="str"/>
    </x:row>
    <x:row r="14"/>
    <x:row r="15"/>
    <x:row r="16" ht="15" hidden="0" customHeight="1">
      <x:c r="A16" s="22" t="str">
        <x:v>B. NISA as an entry point to investing</x:v>
      </x:c>
      <x:c r="B16" s="22"/>
      <x:c r="C16" s="22"/>
      <x:c r="D16" s="22"/>
      <x:c r="E16" s="22"/>
      <x:c r="F16" s="22"/>
      <x:c r="G16" s="22"/>
      <x:c r="H16" s="22"/>
      <x:c r="I16" s="22"/>
    </x:row>
    <x:row r="17" ht="15" hidden="0" customHeight="1">
      <x:c r="A17" s="16" t="str">
        <x:v>Metric</x:v>
      </x:c>
      <x:c r="B17" s="16" t="str">
        <x:v>Overall</x:v>
      </x:c>
      <x:c r="C17" s="16" t="str">
        <x:v>30s or Below</x:v>
      </x:c>
      <x:c r="D17" s="16" t="str">
        <x:v>Source ID</x:v>
      </x:c>
      <x:c r="E17" s="16" t="str">
        <x:v>Source URL</x:v>
      </x:c>
      <x:c r="F17" s="16" t="str">
        <x:v>Sample / Base</x:v>
      </x:c>
      <x:c r="G17" s="16" t="str">
        <x:v>Interpretation</x:v>
      </x:c>
      <x:c r="H17" s="16" t="str">
        <x:v>Use</x:v>
      </x:c>
      <x:c r="I17" s="16" t="str">
        <x:v>Caveat</x:v>
      </x:c>
    </x:row>
    <x:row r="18" ht="26.399999618530273" hidden="0" customHeight="1">
      <x:c r="A18" t="str">
        <x:v>NISA openers with no prior securities-purchase experience</x:v>
      </x:c>
      <x:c r="B18" s="30" t="n">
        <x:v>0.227</x:v>
      </x:c>
      <x:c r="C18" s="30" t="n">
        <x:v>0.328</x:v>
      </x:c>
      <x:c r="D18" t="str">
        <x:v>S33</x:v>
      </x:c>
      <x:c r="E18" t="str">
        <x:v>https://www.jsda.or.jp/shiryoshitsu/toukei/shin-nisa-hakusyo/shin_nisa_hakusyo_2025.pdf</x:v>
      </x:c>
      <x:c r="F18" s="18" t="str">
        <x:v>4,158 NISA openers</x:v>
      </x:c>
      <x:c r="G18" s="18" t="str">
        <x:v>NISA functions as a first-investment gateway, especially for younger respondents.</x:v>
      </x:c>
      <x:c r="H18" s="18" t="str">
        <x:v>Mechanism support</x:v>
      </x:c>
      <x:c r="I18" s="18" t="str">
        <x:v>Survey sample, not total population.</x:v>
      </x:c>
    </x:row>
    <x:row r="19" ht="26.399999618530273" hidden="0" customHeight="1">
      <x:c r="A19" t="str">
        <x:v>NISA opened among surveyed securities holders</x:v>
      </x:c>
      <x:c r="B19" s="30" t="n">
        <x:v>0.82</x:v>
      </x:c>
      <x:c r="C19" s="30" t="n">
        <x:v>0.939</x:v>
      </x:c>
      <x:c r="D19" t="str">
        <x:v>S33</x:v>
      </x:c>
      <x:c r="E19" t="str">
        <x:v>https://www.jsda.or.jp/shiryoshitsu/toukei/shin-nisa-hakusyo/shin_nisa_hakusyo_2025.pdf</x:v>
      </x:c>
      <x:c r="F19" s="18" t="str">
        <x:v>5,000 respondents</x:v>
      </x:c>
      <x:c r="G19" s="18" t="str">
        <x:v>High adoption within an investment-aware sample, especially younger respondents.</x:v>
      </x:c>
      <x:c r="H19" s="18" t="str">
        <x:v>Context only</x:v>
      </x:c>
      <x:c r="I19" s="18" t="str">
        <x:v>Do not interpret as national penetration.</x:v>
      </x:c>
    </x:row>
    <x:row r="20"/>
    <x:row r="21"/>
    <x:row r="22" ht="15" hidden="0" customHeight="1">
      <x:c r="A22" s="22" t="str">
        <x:v>C. Guardrail</x:v>
      </x:c>
      <x:c r="B22" s="22"/>
      <x:c r="C22" s="22"/>
      <x:c r="D22" s="22"/>
      <x:c r="E22" s="22"/>
      <x:c r="F22" s="22"/>
      <x:c r="G22" s="22"/>
      <x:c r="H22" s="22"/>
      <x:c r="I22" s="22"/>
    </x:row>
    <x:row r="23">
      <x:c r="A23" s="84" t="str">
        <x:v>Multiple-response survey percentages do not sum to 100%. The funding categories cannot identify a precise yen amount of cash shifted from deposits into NISA. These data are used only to support behavioral interpretation.</x:v>
      </x:c>
      <x:c r="B23" s="84"/>
      <x:c r="C23" s="84"/>
      <x:c r="D23" s="84"/>
      <x:c r="E23" s="84"/>
      <x:c r="F23" s="84"/>
      <x:c r="G23" s="84"/>
      <x:c r="H23" s="84"/>
      <x:c r="I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I1"/>
    <x:mergeCell ref="A2:I2"/>
    <x:mergeCell ref="A4:I4"/>
    <x:mergeCell ref="A16:I16"/>
    <x:mergeCell ref="A22:I22"/>
    <x:mergeCell ref="A23:I2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3" hidden="0" customWidth="1"/>
    <x:col min="3" max="3" width="16" hidden="0" customWidth="1"/>
    <x:col min="4" max="4" width="10" hidden="0" customWidth="1"/>
    <x:col min="5" max="5" width="14" hidden="0" customWidth="1"/>
    <x:col min="6" max="6" width="57" hidden="0" customWidth="1"/>
    <x:col min="7" max="7" width="32" hidden="0" customWidth="1"/>
    <x:col min="8" max="8" width="32" hidden="0" customWidth="1"/>
    <x:col min="9" max="9" width="22" hidden="0" customWidth="1"/>
  </x:cols>
  <x:sheetData>
    <x:row r="1" ht="19.200000762939453" hidden="0" customHeight="1">
      <x:c r="A1" s="4" t="str">
        <x:v>08_Macro_Market</x:v>
      </x:c>
      <x:c r="B1" s="4"/>
      <x:c r="C1" s="4"/>
      <x:c r="D1" s="4"/>
      <x:c r="E1" s="4"/>
      <x:c r="F1" s="4"/>
      <x:c r="G1" s="4"/>
      <x:c r="H1" s="4"/>
      <x:c r="I1" s="4"/>
    </x:row>
    <x:row r="2" ht="15" hidden="0" customHeight="1">
      <x:c r="A2" s="10" t="str">
        <x:v>Concurrent market/macro conditions are confounders and context, not a formal causal-control strategy.</x:v>
      </x:c>
      <x:c r="B2" s="10"/>
      <x:c r="C2" s="10"/>
      <x:c r="D2" s="10"/>
      <x:c r="E2" s="10"/>
      <x:c r="F2" s="10"/>
      <x:c r="G2" s="10"/>
      <x:c r="H2" s="10"/>
      <x:c r="I2" s="10"/>
    </x:row>
    <x:row r="3"/>
    <x:row r="4" ht="15" hidden="0" customHeight="1">
      <x:c r="A4" s="22" t="str">
        <x:v>A. Inflation and equity-market context</x:v>
      </x:c>
      <x:c r="B4" s="22"/>
      <x:c r="C4" s="22"/>
      <x:c r="D4" s="22"/>
      <x:c r="E4" s="22"/>
      <x:c r="F4" s="22"/>
      <x:c r="G4" s="22"/>
      <x:c r="H4" s="22"/>
      <x:c r="I4" s="22"/>
    </x:row>
    <x:row r="5" ht="21.600000381469727" hidden="0" customHeight="1">
      <x:c r="A5" s="16" t="str">
        <x:v>Year</x:v>
      </x:c>
      <x:c r="B5" s="16" t="str">
        <x:v>CPI Index</x:v>
      </x:c>
      <x:c r="C5" s="16" t="str">
        <x:v>CPI YoY</x:v>
      </x:c>
      <x:c r="D5" s="16" t="str">
        <x:v>TOPIX Year-End</x:v>
      </x:c>
      <x:c r="E5" s="16" t="str">
        <x:v>TOPIX Price Return</x:v>
      </x:c>
      <x:c r="F5" s="16" t="str">
        <x:v>Source IDs</x:v>
      </x:c>
      <x:c r="G5" s="16" t="str">
        <x:v>Interpretation</x:v>
      </x:c>
      <x:c r="H5" s="16" t="str">
        <x:v>Causal Relevance</x:v>
      </x:c>
      <x:c r="I5" s="16" t="str">
        <x:v>URLs</x:v>
      </x:c>
    </x:row>
    <x:row r="6" ht="26.399999618530273" hidden="0" customHeight="1">
      <x:c r="A6" t="n">
        <x:v>2023</x:v>
      </x:c>
      <x:c r="B6" s="86" t="n">
        <x:v>105.6</x:v>
      </x:c>
      <x:c r="C6" s="30" t="n">
        <x:v>0.032</x:v>
      </x:c>
      <x:c r="D6" s="26" t="n">
        <x:v>2366.39</x:v>
      </x:c>
      <x:c r="E6" s="30" t="n">
        <x:v>0.2509</x:v>
      </x:c>
      <x:c r="F6" t="str">
        <x:v>S14;S17</x:v>
      </x:c>
      <x:c r="G6" s="18" t="str">
        <x:v>Strong equity market before reform.</x:v>
      </x:c>
      <x:c r="H6" s="18" t="str">
        <x:v>Interest in investing may already have been responding to markets.</x:v>
      </x:c>
      <x:c r="I6" s="18" t="str">
        <x:v>Official CPI + Kabutan</x:v>
      </x:c>
    </x:row>
    <x:row r="7" ht="26.399999618530273" hidden="0" customHeight="1">
      <x:c r="A7" t="n">
        <x:v>2024</x:v>
      </x:c>
      <x:c r="B7" s="86" t="n">
        <x:v>108.5</x:v>
      </x:c>
      <x:c r="C7" s="30" t="n">
        <x:v>0.027</x:v>
      </x:c>
      <x:c r="D7" s="26" t="n">
        <x:v>2784.92</x:v>
      </x:c>
      <x:c r="E7" s="30" t="n">
        <x:v>0.1769</x:v>
      </x:c>
      <x:c r="F7" t="str">
        <x:v>S15;S17</x:v>
      </x:c>
      <x:c r="G7" s="18" t="str">
        <x:v>Strong launch-year equity returns.</x:v>
      </x:c>
      <x:c r="H7" s="18" t="str">
        <x:v>Higher balances/participation can reflect markets as well as policy.</x:v>
      </x:c>
      <x:c r="I7" s="18" t="str">
        <x:v>Official CPI + Kabutan</x:v>
      </x:c>
    </x:row>
    <x:row r="8" ht="26.399999618530273" hidden="0" customHeight="1">
      <x:c r="A8" t="n">
        <x:v>2025</x:v>
      </x:c>
      <x:c r="B8" s="86" t="n">
        <x:v>111.9</x:v>
      </x:c>
      <x:c r="C8" s="30" t="n">
        <x:v>0.032</x:v>
      </x:c>
      <x:c r="D8" s="26" t="n">
        <x:v>3408.97</x:v>
      </x:c>
      <x:c r="E8" s="30" t="n">
        <x:v>0.2241</x:v>
      </x:c>
      <x:c r="F8" t="str">
        <x:v>S16;S17</x:v>
      </x:c>
      <x:c r="G8" s="18" t="str">
        <x:v>Strong second-year market.</x:v>
      </x:c>
      <x:c r="H8" s="18" t="str">
        <x:v>Asset-balance gains are not pure net inflows.</x:v>
      </x:c>
      <x:c r="I8" s="18" t="str">
        <x:v>Official CPI + Kabutan</x:v>
      </x:c>
    </x:row>
    <x:row r="9"/>
    <x:row r="10"/>
    <x:row r="11" ht="15" hidden="0" customHeight="1">
      <x:c r="A11" s="22" t="str">
        <x:v>B. BOJ normalization</x:v>
      </x:c>
      <x:c r="B11" s="22"/>
      <x:c r="C11" s="22"/>
      <x:c r="D11" s="22"/>
      <x:c r="E11" s="22"/>
      <x:c r="F11" s="22"/>
      <x:c r="G11" s="22"/>
      <x:c r="H11" s="22"/>
      <x:c r="I11" s="22"/>
    </x:row>
    <x:row r="12" ht="15" hidden="0" customHeight="1">
      <x:c r="A12" s="16" t="str">
        <x:v>Date</x:v>
      </x:c>
      <x:c r="B12" s="16" t="str">
        <x:v>Policy Change</x:v>
      </x:c>
      <x:c r="C12" s="16" t="str">
        <x:v>Rate Reference</x:v>
      </x:c>
      <x:c r="D12" s="16" t="str">
        <x:v>Unit</x:v>
      </x:c>
      <x:c r="E12" s="16" t="str">
        <x:v>Source ID</x:v>
      </x:c>
      <x:c r="F12" s="16" t="str">
        <x:v>Source URL</x:v>
      </x:c>
      <x:c r="G12" s="16" t="str">
        <x:v>Household Relevance</x:v>
      </x:c>
      <x:c r="H12" s="16" t="str">
        <x:v>Broker Relevance</x:v>
      </x:c>
      <x:c r="I12" s="16" t="str">
        <x:v>Treatment</x:v>
      </x:c>
    </x:row>
    <x:row r="13" ht="26.399999618530273" hidden="0" customHeight="1">
      <x:c r="A13" t="str">
        <x:v>2024-03-19</x:v>
      </x:c>
      <x:c r="B13" s="18" t="str">
        <x:v>Ended negative-rate/YCC framework; overnight around 0-0.1%</x:v>
      </x:c>
      <x:c r="C13" s="88"/>
      <x:c r="D13" s="18" t="str">
        <x:v>range</x:v>
      </x:c>
      <x:c r="E13" s="18" t="str">
        <x:v>S19</x:v>
      </x:c>
      <x:c r="F13" s="18" t="str">
        <x:v>https://www.boj.or.jp/en/mopo/mpmsche_minu/minu_2024/g240319.htm</x:v>
      </x:c>
      <x:c r="G13" s="18" t="str">
        <x:v>Cash/bond opportunity cost began changing.</x:v>
      </x:c>
      <x:c r="H13" s="18" t="str">
        <x:v>Changed broker financial-income economics.</x:v>
      </x:c>
      <x:c r="I13" s="18" t="str">
        <x:v>Context only.</x:v>
      </x:c>
    </x:row>
    <x:row r="14" ht="15" hidden="0" customHeight="1">
      <x:c r="A14" t="str">
        <x:v>2024-07-31</x:v>
      </x:c>
      <x:c r="B14" s="18" t="str">
        <x:v>Raised policy rate to around 0.25%</x:v>
      </x:c>
      <x:c r="C14" s="88" t="n">
        <x:v>0.0025</x:v>
      </x:c>
      <x:c r="D14" s="18" t="str">
        <x:v>rate</x:v>
      </x:c>
      <x:c r="E14" s="18" t="str">
        <x:v>S20</x:v>
      </x:c>
      <x:c r="F14" s="18" t="str">
        <x:v>https://www.boj.or.jp/en/mopo/mpmdeci/state_2024/k240731a.htm</x:v>
      </x:c>
      <x:c r="G14" s="18" t="str">
        <x:v>Higher cash/bond yields.</x:v>
      </x:c>
      <x:c r="H14" s="18" t="str">
        <x:v>Can support interest/financial income.</x:v>
      </x:c>
      <x:c r="I14" s="18" t="str">
        <x:v>Context only.</x:v>
      </x:c>
    </x:row>
    <x:row r="15" ht="26.399999618530273" hidden="0" customHeight="1">
      <x:c r="A15" t="str">
        <x:v>2025-01-24</x:v>
      </x:c>
      <x:c r="B15" s="18" t="str">
        <x:v>Raised policy rate to around 0.5%</x:v>
      </x:c>
      <x:c r="C15" s="88" t="n">
        <x:v>0.005</x:v>
      </x:c>
      <x:c r="D15" s="18" t="str">
        <x:v>rate</x:v>
      </x:c>
      <x:c r="E15" s="18" t="str">
        <x:v>S21</x:v>
      </x:c>
      <x:c r="F15" s="18" t="str">
        <x:v>https://www.boj.or.jp/en/mopo/mpmdeci/state_2025/k250124a.htm</x:v>
      </x:c>
      <x:c r="G15" s="18" t="str">
        <x:v>Further normalization.</x:v>
      </x:c>
      <x:c r="H15" s="18" t="str">
        <x:v>Rakuten later cited higher financial/interest income.</x:v>
      </x:c>
      <x:c r="I15" s="18" t="str">
        <x:v>Context only.</x:v>
      </x:c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I1"/>
    <x:mergeCell ref="A2:I2"/>
    <x:mergeCell ref="A4:I4"/>
    <x:mergeCell ref="A11:I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9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4" hidden="0" customWidth="1"/>
    <x:col min="9" max="9" width="52" hidden="0" customWidth="1"/>
    <x:col min="10" max="10" width="45" hidden="0" customWidth="1"/>
  </x:cols>
  <x:sheetData>
    <x:row r="1" ht="19.200000762939453" hidden="0" customHeight="1">
      <x:c r="A1" s="4" t="str">
        <x:v>09_Firm_Comparison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10" t="str">
        <x:v>Firm evidence is kept in disclosed definitions rather than forced into a misleading apples-to-apples ranking.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/>
    <x:row r="4" ht="15" hidden="0" customHeight="1">
      <x:c r="A4" s="22" t="str">
        <x:v>A. Rakuten Securities</x:v>
      </x:c>
      <x:c r="B4" s="22"/>
      <x:c r="C4" s="22"/>
      <x:c r="D4" s="22"/>
      <x:c r="E4" s="22"/>
      <x:c r="F4" s="22"/>
      <x:c r="G4" s="22"/>
      <x:c r="H4" s="22"/>
      <x:c r="I4" s="22"/>
      <x:c r="J4" s="22"/>
    </x:row>
    <x:row r="5" ht="15" hidden="0" customHeight="1">
      <x:c r="A5" s="16" t="str">
        <x:v>Year / Date</x:v>
      </x:c>
      <x:c r="B5" s="16" t="str">
        <x:v>General Accounts (m)</x:v>
      </x:c>
      <x:c r="C5" s="16" t="str">
        <x:v>NISA Accounts (m)</x:v>
      </x:c>
      <x:c r="D5" s="16" t="str">
        <x:v>Deposited Assets (¥tn)</x:v>
      </x:c>
      <x:c r="E5" s="16" t="str">
        <x:v>Operating Revenue (¥bn)</x:v>
      </x:c>
      <x:c r="F5" s="16" t="str">
        <x:v>Pre-tax Income (¥bn)</x:v>
      </x:c>
      <x:c r="G5" s="16" t="str">
        <x:v>Net Income (¥bn)</x:v>
      </x:c>
      <x:c r="H5" s="16" t="str">
        <x:v>Source ID</x:v>
      </x:c>
      <x:c r="I5" s="16" t="str">
        <x:v>Source URL</x:v>
      </x:c>
      <x:c r="J5" s="16" t="str">
        <x:v>Notes</x:v>
      </x:c>
    </x:row>
    <x:row r="6" ht="15" hidden="0" customHeight="1">
      <x:c r="A6" t="str">
        <x:v>2023</x:v>
      </x:c>
      <x:c r="B6" s="26" t="n">
        <x:v>10.2</x:v>
      </x:c>
      <x:c r="C6" s="26"/>
      <x:c r="D6" s="26"/>
      <x:c r="E6" s="78" t="n">
        <x:v>110.877</x:v>
      </x:c>
      <x:c r="F6" s="78" t="n">
        <x:v>28.186</x:v>
      </x:c>
      <x:c r="G6" s="78" t="n">
        <x:v>17.356</x:v>
      </x:c>
      <x:c r="H6" t="str">
        <x:v>S22;S23</x:v>
      </x:c>
      <x:c r="I6" t="str">
        <x:v>https://global.rakuten.com/corp/news/press/2026/0520_11.html</x:v>
      </x:c>
      <x:c r="J6" s="18" t="str">
        <x:v>Exact consolidated J-GAAP financials.</x:v>
      </x:c>
    </x:row>
    <x:row r="7" ht="15" hidden="0" customHeight="1">
      <x:c r="A7" t="str">
        <x:v>2024</x:v>
      </x:c>
      <x:c r="B7" s="26" t="n">
        <x:v>11.93</x:v>
      </x:c>
      <x:c r="C7" s="26" t="n">
        <x:v>6</x:v>
      </x:c>
      <x:c r="D7" s="26" t="n">
        <x:v>36.1</x:v>
      </x:c>
      <x:c r="E7" s="78" t="n">
        <x:v>130.096</x:v>
      </x:c>
      <x:c r="F7" s="78" t="n">
        <x:v>31.219</x:v>
      </x:c>
      <x:c r="G7" s="78" t="n">
        <x:v>16.128</x:v>
      </x:c>
      <x:c r="H7" t="str">
        <x:v>S22;S23</x:v>
      </x:c>
      <x:c r="I7" t="str">
        <x:v>https://global.rakuten.com/corp/news/press/2026/0520_11.html</x:v>
      </x:c>
      <x:c r="J7" s="18" t="str">
        <x:v>Deposited assets approximately ¥36.1tn; NISA ~6.0m.</x:v>
      </x:c>
    </x:row>
    <x:row r="8" ht="15" hidden="0" customHeight="1">
      <x:c r="A8" t="str">
        <x:v>2025</x:v>
      </x:c>
      <x:c r="B8" s="26" t="n">
        <x:v>13.26</x:v>
      </x:c>
      <x:c r="C8" s="26" t="n">
        <x:v>6.99</x:v>
      </x:c>
      <x:c r="D8" s="26" t="n">
        <x:v>48.7</x:v>
      </x:c>
      <x:c r="E8" s="78" t="n">
        <x:v>158.34</x:v>
      </x:c>
      <x:c r="F8" s="78" t="n">
        <x:v>44.548</x:v>
      </x:c>
      <x:c r="G8" s="78" t="n">
        <x:v>21.699</x:v>
      </x:c>
      <x:c r="H8" t="str">
        <x:v>S22;S23</x:v>
      </x:c>
      <x:c r="I8" t="str">
        <x:v>https://global.rakuten.com/corp/news/press/2026/0520_11.html</x:v>
      </x:c>
      <x:c r="J8" s="18" t="str">
        <x:v>Deposited assets +34.6% YoY; NISA ~6.99m.</x:v>
      </x:c>
    </x:row>
    <x:row r="9" ht="39.599998474121094" hidden="0" customHeight="1">
      <x:c r="A9" t="str">
        <x:v>2026-06</x:v>
      </x:c>
      <x:c r="B9" s="26" t="n">
        <x:v>14.39</x:v>
      </x:c>
      <x:c r="C9" s="26" t="n">
        <x:v>7.92</x:v>
      </x:c>
      <x:c r="D9" s="26"/>
      <x:c r="E9" s="78"/>
      <x:c r="F9" s="78"/>
      <x:c r="G9" s="78"/>
      <x:c r="H9" t="str">
        <x:v>S24</x:v>
      </x:c>
      <x:c r="I9" t="str">
        <x:v>https://global.rakuten.com/corp/news/press/2026/0810_01.html</x:v>
      </x:c>
      <x:c r="J9" s="18" t="str">
        <x:v>General accounts +14.5% YoY; NISA +21.3%; highest-ever quarterly OI with financial income and accumulation-fund fees.</x:v>
      </x:c>
    </x:row>
    <x:row r="10"/>
    <x:row r="11"/>
    <x:row r="12" ht="15" hidden="0" customHeight="1">
      <x:c r="A12" s="22" t="str">
        <x:v>B. SBI Securities / SBI Group</x:v>
      </x:c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 ht="15" hidden="0" customHeight="1">
      <x:c r="A13" s="16" t="str">
        <x:v>Date / Period</x:v>
      </x:c>
      <x:c r="B13" s="16" t="str">
        <x:v>Metric</x:v>
      </x:c>
      <x:c r="C13" s="16" t="str">
        <x:v>Value</x:v>
      </x:c>
      <x:c r="D13" s="16" t="str">
        <x:v>Unit</x:v>
      </x:c>
      <x:c r="E13" s="16" t="str">
        <x:v>Comparison / Growth</x:v>
      </x:c>
      <x:c r="F13" s="16" t="str">
        <x:v>Source ID</x:v>
      </x:c>
      <x:c r="G13" s="16" t="str">
        <x:v>Source URL</x:v>
      </x:c>
      <x:c r="H13" s="16" t="str">
        <x:v>Direct NISA Link?</x:v>
      </x:c>
      <x:c r="I13" s="16" t="str">
        <x:v>Strategic Readout</x:v>
      </x:c>
      <x:c r="J13" s="16" t="str">
        <x:v>Comparability Caveat</x:v>
      </x:c>
    </x:row>
    <x:row r="14" ht="39.599998474121094" hidden="0" customHeight="1">
      <x:c r="A14" t="str">
        <x:v>2024-06-13</x:v>
      </x:c>
      <x:c r="B14" t="str">
        <x:v>NISA accounts</x:v>
      </x:c>
      <x:c r="C14" s="78" t="n">
        <x:v>5</x:v>
      </x:c>
      <x:c r="D14" t="str">
        <x:v>m accounts</x:v>
      </x:c>
      <x:c r="E14" s="18" t="str">
        <x:v>Milestone exceeded</x:v>
      </x:c>
      <x:c r="F14" s="18" t="str">
        <x:v>S26</x:v>
      </x:c>
      <x:c r="G14" s="18" t="str">
        <x:v>https://www.sbigroup.co.jp/news/2024/0614_14717.html</x:v>
      </x:c>
      <x:c r="H14" s="18" t="str">
        <x:v>Yes</x:v>
      </x:c>
      <x:c r="I14" s="18" t="str">
        <x:v>Large direct NISA customer base.</x:v>
      </x:c>
      <x:c r="J14" s="18" t="str">
        <x:v>Milestone rather than exact period-end count.</x:v>
      </x:c>
    </x:row>
    <x:row r="15" ht="39.599998474121094" hidden="0" customHeight="1">
      <x:c r="A15" t="str">
        <x:v>2024-07-11</x:v>
      </x:c>
      <x:c r="B15" t="str">
        <x:v>Investment-trust custody</x:v>
      </x:c>
      <x:c r="C15" s="78" t="n">
        <x:v>15</x:v>
      </x:c>
      <x:c r="D15" t="str">
        <x:v>¥tn</x:v>
      </x:c>
      <x:c r="E15" s="18" t="str">
        <x:v>~1.5x in ~6 months</x:v>
      </x:c>
      <x:c r="F15" s="18" t="str">
        <x:v>S25</x:v>
      </x:c>
      <x:c r="G15" s="18" t="str">
        <x:v>https://www.sbigroup.co.jp/news/2024/0719_14801.html</x:v>
      </x:c>
      <x:c r="H15" s="18" t="str">
        <x:v>Yes</x:v>
      </x:c>
      <x:c r="I15" s="18" t="str">
        <x:v>New NISA/recurring investing accelerated fund balances.</x:v>
      </x:c>
      <x:c r="J15" s="18" t="str">
        <x:v>Custody differs from peer deposited-assets definitions.</x:v>
      </x:c>
    </x:row>
    <x:row r="16" ht="39.599998474121094" hidden="0" customHeight="1">
      <x:c r="A16" t="str">
        <x:v>2024-H1</x:v>
      </x:c>
      <x:c r="B16" t="str">
        <x:v>NISA fund sales</x:v>
      </x:c>
      <x:c r="C16" s="78" t="n">
        <x:v>6.6</x:v>
      </x:c>
      <x:c r="D16" t="str">
        <x:v>x YoY</x:v>
      </x:c>
      <x:c r="E16" s="18" t="str">
        <x:v>~6.6x 2023-H1</x:v>
      </x:c>
      <x:c r="F16" s="18" t="str">
        <x:v>S25</x:v>
      </x:c>
      <x:c r="G16" s="18" t="str">
        <x:v>https://www.sbigroup.co.jp/news/2024/0719_14801.html</x:v>
      </x:c>
      <x:c r="H16" s="18" t="str">
        <x:v>Yes</x:v>
      </x:c>
      <x:c r="I16" s="18" t="str">
        <x:v>Very strong New-NISA-linked fund-sales acceleration.</x:v>
      </x:c>
      <x:c r="J16" s="18" t="str">
        <x:v>Company-reported multiple, not absolute yen amount in this source.</x:v>
      </x:c>
    </x:row>
    <x:row r="17" ht="39.599998474121094" hidden="0" customHeight="1">
      <x:c r="A17" t="str">
        <x:v>2024-06</x:v>
      </x:c>
      <x:c r="B17" t="str">
        <x:v>Recurring fund setting amount</x:v>
      </x:c>
      <x:c r="C17" s="78" t="n">
        <x:v>3.7</x:v>
      </x:c>
      <x:c r="D17" t="str">
        <x:v>x YoY</x:v>
      </x:c>
      <x:c r="E17" s="18" t="str">
        <x:v>~3.7x 2023-06</x:v>
      </x:c>
      <x:c r="F17" s="18" t="str">
        <x:v>S25</x:v>
      </x:c>
      <x:c r="G17" s="18" t="str">
        <x:v>https://www.sbigroup.co.jp/news/2024/0719_14801.html</x:v>
      </x:c>
      <x:c r="H17" s="18" t="str">
        <x:v>Yes</x:v>
      </x:c>
      <x:c r="I17" s="18" t="str">
        <x:v>Recurring-investment capability is a core advantage.</x:v>
      </x:c>
      <x:c r="J17" s="18" t="str">
        <x:v>Monthly setting amount.</x:v>
      </x:c>
    </x:row>
    <x:row r="18" ht="66" hidden="0" customHeight="1">
      <x:c r="A18" t="str">
        <x:v>2024-12</x:v>
      </x:c>
      <x:c r="B18" t="str">
        <x:v>Group securities accounts</x:v>
      </x:c>
      <x:c r="C18" s="78" t="n">
        <x:v>13.668</x:v>
      </x:c>
      <x:c r="D18" t="str">
        <x:v>m accounts</x:v>
      </x:c>
      <x:c r="E18" s="18" t="str"/>
      <x:c r="F18" s="18" t="str">
        <x:v>S27</x:v>
      </x:c>
      <x:c r="G18" s="18" t="str">
        <x:v>https://www.sbigroup.co.jp/english/investors/disclosure/presentation/pdf/250207presentations.pdf</x:v>
      </x:c>
      <x:c r="H18" s="18" t="str">
        <x:v>Indirect</x:v>
      </x:c>
      <x:c r="I18" s="18" t="str">
        <x:v>Large retail scale.</x:v>
      </x:c>
      <x:c r="J18" s="18" t="str">
        <x:v>Group includes multiple securities entities.</x:v>
      </x:c>
    </x:row>
    <x:row r="19" ht="66" hidden="0" customHeight="1">
      <x:c r="A19" t="str">
        <x:v>2024-12</x:v>
      </x:c>
      <x:c r="B19" t="str">
        <x:v>NISA accounts</x:v>
      </x:c>
      <x:c r="C19" s="78" t="n">
        <x:v>5.365</x:v>
      </x:c>
      <x:c r="D19" t="str">
        <x:v>m accounts</x:v>
      </x:c>
      <x:c r="E19" s="18" t="str"/>
      <x:c r="F19" s="18" t="str">
        <x:v>S27</x:v>
      </x:c>
      <x:c r="G19" s="18" t="str">
        <x:v>https://www.sbigroup.co.jp/english/investors/disclosure/presentation/pdf/250207presentations.pdf</x:v>
      </x:c>
      <x:c r="H19" s="18" t="str">
        <x:v>Yes</x:v>
      </x:c>
      <x:c r="I19" s="18" t="str">
        <x:v>Direct NISA scale.</x:v>
      </x:c>
      <x:c r="J19" s="18" t="str">
        <x:v>Definition differs from Rakuten.</x:v>
      </x:c>
    </x:row>
    <x:row r="20" ht="39.599998474121094" hidden="0" customHeight="1">
      <x:c r="A20" t="str">
        <x:v>2026-05</x:v>
      </x:c>
      <x:c r="B20" t="str">
        <x:v>Investment-trust custody</x:v>
      </x:c>
      <x:c r="C20" s="78" t="n">
        <x:v>30</x:v>
      </x:c>
      <x:c r="D20" t="str">
        <x:v>¥tn</x:v>
      </x:c>
      <x:c r="E20" s="18" t="str">
        <x:v>&gt;2x Jul-2024 milestone</x:v>
      </x:c>
      <x:c r="F20" s="18" t="str">
        <x:v>S28</x:v>
      </x:c>
      <x:c r="G20" s="18" t="str">
        <x:v>https://www.sbigroup.co.jp/news/pr/2026/0612_16398.html</x:v>
      </x:c>
      <x:c r="H20" s="18" t="str">
        <x:v>Yes</x:v>
      </x:c>
      <x:c r="I20" s="18" t="str">
        <x:v>Continued structural growth after reform.</x:v>
      </x:c>
      <x:c r="J20" s="18" t="str">
        <x:v>2026 context outside core test period.</x:v>
      </x:c>
    </x:row>
    <x:row r="21"/>
    <x:row r="22"/>
    <x:row r="23" ht="15" hidden="0" customHeight="1">
      <x:c r="A23" s="22" t="str">
        <x:v>C. Nomura Wealth Management</x:v>
      </x:c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 ht="21.600000381469727" hidden="0" customHeight="1">
      <x:c r="A24" s="16" t="str">
        <x:v>Period</x:v>
      </x:c>
      <x:c r="B24" s="16" t="str">
        <x:v>Accounts with Balance (m)</x:v>
      </x:c>
      <x:c r="C24" s="16" t="str">
        <x:v>NISA Accounts (m)</x:v>
      </x:c>
      <x:c r="D24" s="16" t="str">
        <x:v>Recurring Revenue Assets (¥tn)</x:v>
      </x:c>
      <x:c r="E24" s="16" t="str">
        <x:v>Recurring-Asset Net Inflows (¥bn)</x:v>
      </x:c>
      <x:c r="F24" s="16" t="str">
        <x:v>Recurring Revenue (¥bn, qtr)</x:v>
      </x:c>
      <x:c r="G24" s="16" t="str">
        <x:v>Source ID</x:v>
      </x:c>
      <x:c r="H24" s="16" t="str">
        <x:v>Source URL</x:v>
      </x:c>
      <x:c r="I24" s="16" t="str">
        <x:v>Benefit Channel</x:v>
      </x:c>
      <x:c r="J24" s="16" t="str">
        <x:v>Comparability Caveat</x:v>
      </x:c>
    </x:row>
    <x:row r="25" ht="26.399999618530273" hidden="0" customHeight="1">
      <x:c r="A25" t="str">
        <x:v>Mar-2024</x:v>
      </x:c>
      <x:c r="B25" s="34" t="n">
        <x:v>5.496</x:v>
      </x:c>
      <x:c r="C25" s="34" t="n">
        <x:v>1.78</x:v>
      </x:c>
      <x:c r="D25" s="86" t="n">
        <x:v>23</x:v>
      </x:c>
      <x:c r="E25" s="32"/>
      <x:c r="F25" s="32" t="n">
        <x:v>41.8</x:v>
      </x:c>
      <x:c r="G25" t="str">
        <x:v>S29;S30</x:v>
      </x:c>
      <x:c r="H25" t="str">
        <x:v>https://www.nomuraholdings.com/en/investor/download/2025/main/0/teaserItems1/011111112/tableContents/07/multiFileUpload60/link/2025_full_prem.pdf</x:v>
      </x:c>
      <x:c r="I25" s="18" t="str">
        <x:v>Recurring/advisory assets</x:v>
      </x:c>
      <x:c r="J25" s="18" t="str">
        <x:v>NISA definition change prevents clean direct YoY comparison.</x:v>
      </x:c>
    </x:row>
    <x:row r="26" ht="26.399999618530273" hidden="0" customHeight="1">
      <x:c r="A26" t="str">
        <x:v>Mar-2025</x:v>
      </x:c>
      <x:c r="B26" s="34" t="n">
        <x:v>5.934</x:v>
      </x:c>
      <x:c r="C26" s="34" t="n">
        <x:v>1.779</x:v>
      </x:c>
      <x:c r="D26" s="86" t="n">
        <x:v>23.5</x:v>
      </x:c>
      <x:c r="E26" s="32" t="n">
        <x:v>1374</x:v>
      </x:c>
      <x:c r="F26" s="32" t="n">
        <x:v>51.6</x:v>
      </x:c>
      <x:c r="G26" t="str">
        <x:v>S29;S30</x:v>
      </x:c>
      <x:c r="H26" t="str">
        <x:v>https://www.nomuraholdings.com/en/investor/download/2025/main/0/teaserItems1/011111112/tableContents/07/multiFileUpload60/link/2025_full_prem.pdf</x:v>
      </x:c>
      <x:c r="I26" s="18" t="str">
        <x:v>Recurring/advisory assets</x:v>
      </x:c>
      <x:c r="J26" s="18" t="str">
        <x:v>¥1,374bn is full-year inflow; recurring revenue shown is quarterly.</x:v>
      </x:c>
    </x:row>
    <x:row r="27"/>
    <x:row r="28"/>
    <x:row r="29" ht="15" hidden="0" customHeight="1">
      <x:c r="A29" s="22" t="str">
        <x:v>D. Daiwa Asset Management / Group</x:v>
      </x:c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 ht="21.600000381469727" hidden="0" customHeight="1">
      <x:c r="A30" s="16" t="str">
        <x:v>Period</x:v>
      </x:c>
      <x:c r="B30" s="16" t="str">
        <x:v>Industry NISA-Eligible Fund Inflows (¥tn)</x:v>
      </x:c>
      <x:c r="C30" s="16" t="str">
        <x:v>Daiwa NISA-Eligible Fund Inflows (¥tn)</x:v>
      </x:c>
      <x:c r="D30" s="16" t="str">
        <x:v>Approx. Share</x:v>
      </x:c>
      <x:c r="E30" s="16" t="str">
        <x:v>NISA-Eligible Equity-Fund Balance (¥tn)</x:v>
      </x:c>
      <x:c r="F30" s="16" t="str">
        <x:v>Other Evidence</x:v>
      </x:c>
      <x:c r="G30" s="16" t="str">
        <x:v>Source ID</x:v>
      </x:c>
      <x:c r="H30" s="16" t="str">
        <x:v>Source URL</x:v>
      </x:c>
      <x:c r="I30" s="16" t="str">
        <x:v>Benefit Channel</x:v>
      </x:c>
      <x:c r="J30" s="16" t="str">
        <x:v>Comparability Caveat</x:v>
      </x:c>
    </x:row>
    <x:row r="31" ht="66" hidden="0" customHeight="1">
      <x:c r="A31" t="str">
        <x:v>FY2024</x:v>
      </x:c>
      <x:c r="B31" s="26" t="n">
        <x:v>13.9</x:v>
      </x:c>
      <x:c r="C31" s="26" t="n">
        <x:v>1.03</x:v>
      </x:c>
      <x:c r="D31" s="30" t="n">
        <x:v>0.07</x:v>
      </x:c>
      <x:c r="E31" s="86" t="n">
        <x:v>3.4</x:v>
      </x:c>
      <x:c r="F31" s="18" t="str">
        <x:v>Balance +~¥1tn YoY; iFreeNEXT FANG+ net inflows ¥350.7bn, ranked #4 by Daiwa estimate.</x:v>
      </x:c>
      <x:c r="G31" s="18" t="str">
        <x:v>S31</x:v>
      </x:c>
      <x:c r="H31" s="18" t="str">
        <x:v>https://www.daiwa-grp.jp/english/ir/toolkit/annualreport/pdf/ar2025/ar2025e_23.pdf</x:v>
      </x:c>
      <x:c r="I31" s="18" t="str">
        <x:v>Product manufacturing / recurring AUM</x:v>
      </x:c>
      <x:c r="J31" s="18" t="str">
        <x:v>Not directly comparable to broker NISA accounts.</x:v>
      </x:c>
    </x:row>
    <x:row r="32"/>
    <x:row r="33"/>
    <x:row r="34" ht="15" hidden="0" customHeight="1">
      <x:c r="A34" s="22" t="str">
        <x:v>E. Comparative strategic assessment</x:v>
      </x:c>
      <x:c r="B34" s="22"/>
      <x:c r="C34" s="22"/>
      <x:c r="D34" s="22"/>
      <x:c r="E34" s="22"/>
      <x:c r="F34" s="22"/>
      <x:c r="G34" s="22"/>
      <x:c r="H34" s="22"/>
      <x:c r="I34" s="22"/>
      <x:c r="J34" s="22"/>
    </x:row>
    <x:row r="35" ht="15" hidden="0" customHeight="1">
      <x:c r="A35" s="16" t="str">
        <x:v>Firm</x:v>
      </x:c>
      <x:c r="B35" s="16" t="str">
        <x:v>Direct NISA Exposure</x:v>
      </x:c>
      <x:c r="C35" s="16" t="str">
        <x:v>Quantified Evidence</x:v>
      </x:c>
      <x:c r="D35" s="16" t="str">
        <x:v>Monetization Channels</x:v>
      </x:c>
      <x:c r="E35" s="16" t="str">
        <x:v>Competitive Strength</x:v>
      </x:c>
      <x:c r="F35" s="16" t="str">
        <x:v>Key Risk / Limitation</x:v>
      </x:c>
      <x:c r="G35" s="16" t="str">
        <x:v>Assessment</x:v>
      </x:c>
      <x:c r="H35" s="16" t="str">
        <x:v>Source IDs</x:v>
      </x:c>
      <x:c r="I35" s="16" t="str"/>
      <x:c r="J35" s="16" t="str"/>
    </x:row>
    <x:row r="36" ht="66" hidden="0" customHeight="1">
      <x:c r="A36" s="18" t="str">
        <x:v>Rakuten Securities</x:v>
      </x:c>
      <x:c r="B36" s="18" t="str">
        <x:v>Very high</x:v>
      </x:c>
      <x:c r="C36" s="18" t="str">
        <x:v>13.26m general accounts; ~6.99m NISA; ¥48.7tn deposited assets; 2025 revenue ¥158.34bn.</x:v>
      </x:c>
      <x:c r="D36" s="18" t="str">
        <x:v>Fund-balance fees, financial/interest income, FX, ancillary activity, ecosystem cross-use.</x:v>
      </x:c>
      <x:c r="E36" s="18" t="str">
        <x:v>Large digital base; NISA share; ecosystem.</x:v>
      </x:c>
      <x:c r="F36" s="18" t="str">
        <x:v>Zero/low stock commissions shift monetization; markets/rates helped revenue.</x:v>
      </x:c>
      <x:c r="G36" s="18" t="str">
        <x:v>Best quantified direct digital exposure in this dataset.</x:v>
      </x:c>
      <x:c r="H36" s="18" t="str">
        <x:v>S22-S24</x:v>
      </x:c>
      <x:c r="I36" s="18" t="str"/>
      <x:c r="J36" s="18" t="str"/>
    </x:row>
    <x:row r="37" ht="79.19999694824219" hidden="0" customHeight="1">
      <x:c r="A37" s="18" t="str">
        <x:v>SBI Securities</x:v>
      </x:c>
      <x:c r="B37" s="18" t="str">
        <x:v>Very high</x:v>
      </x:c>
      <x:c r="C37" s="18" t="str">
        <x:v>&gt;5m NISA by Jun-2024; fund custody &gt;¥15tn Jul-2024 and &gt;¥30tn May-2026; H1-2024 NISA fund sales ~6.6x YoY.</x:v>
      </x:c>
      <x:c r="D37" s="18" t="str">
        <x:v>Fund custody/fees, financial income, FX, ancillary services.</x:v>
      </x:c>
      <x:c r="E37" s="18" t="str">
        <x:v>Scale, low-cost platform, broad fund lineup, recurring tools.</x:v>
      </x:c>
      <x:c r="F37" s="18" t="str">
        <x:v>Metrics/perimeter differ; commission-free strategy shifts economics.</x:v>
      </x:c>
      <x:c r="G37" s="18" t="str">
        <x:v>Strong direct beneficiary; no defensible exact #1 ranking versus Rakuten.</x:v>
      </x:c>
      <x:c r="H37" s="18" t="str">
        <x:v>S25-S28</x:v>
      </x:c>
      <x:c r="I37" s="18" t="str"/>
      <x:c r="J37" s="18" t="str"/>
    </x:row>
    <x:row r="38" ht="66" hidden="0" customHeight="1">
      <x:c r="A38" s="18" t="str">
        <x:v>Nomura</x:v>
      </x:c>
      <x:c r="B38" s="18" t="str">
        <x:v>Moderate/direct + recurring</x:v>
      </x:c>
      <x:c r="C38" s="18" t="str">
        <x:v>Recurring assets ¥23.5tn; FY2024/25 net inflows ¥1.374tn; recurring revenue increased.</x:v>
      </x:c>
      <x:c r="D38" s="18" t="str">
        <x:v>Advisory, managed assets, lending, recurring fees.</x:v>
      </x:c>
      <x:c r="E38" s="18" t="str">
        <x:v>Large wealth-management franchise.</x:v>
      </x:c>
      <x:c r="F38" s="18" t="str">
        <x:v>NISA definition change impairs clean YoY.</x:v>
      </x:c>
      <x:c r="G38" s="18" t="str">
        <x:v>Benefits more through recurring/advisory assets.</x:v>
      </x:c>
      <x:c r="H38" s="18" t="str">
        <x:v>S29-S30</x:v>
      </x:c>
      <x:c r="I38" s="18" t="str"/>
      <x:c r="J38" s="18" t="str"/>
    </x:row>
    <x:row r="39" ht="52.79999923706055" hidden="0" customHeight="1">
      <x:c r="A39" s="18" t="str">
        <x:v>Daiwa</x:v>
      </x:c>
      <x:c r="B39" s="18" t="str">
        <x:v>Moderate/indirect</x:v>
      </x:c>
      <x:c r="C39" s="18" t="str">
        <x:v>¥1.03tn FY2024 NISA-eligible fund inflows, ~7% share; fund balance ¥3.4tn.</x:v>
      </x:c>
      <x:c r="D39" s="18" t="str">
        <x:v>Asset-management fees, product manufacturing/distribution.</x:v>
      </x:c>
      <x:c r="E39" s="18" t="str">
        <x:v>Strong product shelf/manufacturing.</x:v>
      </x:c>
      <x:c r="F39" s="18" t="str">
        <x:v>Not broker-account comparable.</x:v>
      </x:c>
      <x:c r="G39" s="18" t="str">
        <x:v>Meaningful product-manufacturing beneficiary.</x:v>
      </x:c>
      <x:c r="H39" s="18" t="str">
        <x:v>S31</x:v>
      </x:c>
      <x:c r="I39" s="18" t="str"/>
      <x:c r="J39" s="18" t="str"/>
    </x:row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J1"/>
    <x:mergeCell ref="A2:J2"/>
    <x:mergeCell ref="A4:J4"/>
    <x:mergeCell ref="A12:J12"/>
    <x:mergeCell ref="A23:J23"/>
    <x:mergeCell ref="A29:J29"/>
    <x:mergeCell ref="A34:J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9" hidden="0" customWidth="1"/>
    <x:col min="5" max="5" width="15" hidden="0" customWidth="1"/>
    <x:col min="6" max="6" width="35" hidden="0" customWidth="1"/>
    <x:col min="7" max="7" width="20" hidden="0" customWidth="1"/>
    <x:col min="8" max="8" width="14" hidden="0" customWidth="1"/>
    <x:col min="9" max="9" width="29" hidden="0" customWidth="1"/>
    <x:col min="10" max="10" width="34" hidden="0" customWidth="1"/>
    <x:col min="11" max="11" width="49" hidden="0" customWidth="1"/>
  </x:cols>
  <x:sheetData>
    <x:row r="1" ht="19.200000762939453" hidden="0" customHeight="1">
      <x:c r="A1" s="4" t="str">
        <x:v>10_Rakuten_Scenario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5" hidden="0" customHeight="1">
      <x:c r="A2" s="10" t="str">
        <x:v>Illustrative 2026-2028 Rakuten Securities operating/valuation sensitivity. Inputs are evidence-anchored; outputs are not company guidance.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/>
    <x:row r="4" ht="15" hidden="0" customHeight="1">
      <x:c r="A4" s="22" t="str">
        <x:v>A. Historical operating drivers</x:v>
      </x:c>
      <x:c r="B4" s="22"/>
      <x:c r="C4" s="22"/>
      <x:c r="D4" s="22"/>
      <x:c r="E4" s="22"/>
      <x:c r="F4" s="22"/>
      <x:c r="G4" s="22"/>
      <x:c r="H4" s="22"/>
    </x:row>
    <x:row r="5" ht="21.600000381469727" hidden="0" customHeight="1">
      <x:c r="A5" s="16" t="str">
        <x:v>Year</x:v>
      </x:c>
      <x:c r="B5" s="16" t="str">
        <x:v>General Accounts (m)</x:v>
      </x:c>
      <x:c r="C5" s="16" t="str">
        <x:v>Operating Revenue (¥bn)</x:v>
      </x:c>
      <x:c r="D5" s="16" t="str">
        <x:v>Pre-tax Income (¥bn)</x:v>
      </x:c>
      <x:c r="E5" s="16" t="str">
        <x:v>Net Income (¥bn)</x:v>
      </x:c>
      <x:c r="F5" s="16" t="str">
        <x:v>Revenue / Account (¥)</x:v>
      </x:c>
      <x:c r="G5" s="16" t="str">
        <x:v>Pre-tax Margin</x:v>
      </x:c>
      <x:c r="H5" s="16" t="str">
        <x:v>Net Margin</x:v>
      </x:c>
      <x:c r="J5" s="16" t="str">
        <x:v>Observed Driver</x:v>
      </x:c>
      <x:c r="K5" s="16" t="str">
        <x:v>Value</x:v>
      </x:c>
    </x:row>
    <x:row r="6" ht="15" hidden="0" customHeight="1">
      <x:c r="A6" t="n">
        <x:v>2023</x:v>
      </x:c>
      <x:c r="B6" s="40" t="n">
        <x:f>'09_Firm_Comparison'!B6</x:f>
        <x:v>10.2</x:v>
      </x:c>
      <x:c r="C6" s="90" t="n">
        <x:f>'09_Firm_Comparison'!E6</x:f>
        <x:v>110.877</x:v>
      </x:c>
      <x:c r="D6" s="90" t="n">
        <x:f>'09_Firm_Comparison'!F6</x:f>
        <x:v>28.186</x:v>
      </x:c>
      <x:c r="E6" s="90" t="n">
        <x:f>'09_Firm_Comparison'!G6</x:f>
        <x:v>17.356</x:v>
      </x:c>
      <x:c r="F6" s="64" t="n">
        <x:f>C6*1000/B6</x:f>
        <x:v>10870.29411764706</x:v>
      </x:c>
      <x:c r="G6" s="43" t="n">
        <x:f>D6/C6</x:f>
        <x:v>0.25420961966864186</x:v>
      </x:c>
      <x:c r="H6" s="43" t="n">
        <x:f>E6/C6</x:f>
        <x:v>0.15653381675189626</x:v>
      </x:c>
      <x:c r="J6" t="str">
        <x:v>2024 account growth</x:v>
      </x:c>
      <x:c r="K6" s="43" t="n">
        <x:f>B7/B6-1</x:f>
        <x:v>0.16960784313725497</x:v>
      </x:c>
    </x:row>
    <x:row r="7" ht="15" hidden="0" customHeight="1">
      <x:c r="A7" t="n">
        <x:v>2024</x:v>
      </x:c>
      <x:c r="B7" s="40" t="n">
        <x:f>'09_Firm_Comparison'!B7</x:f>
        <x:v>11.93</x:v>
      </x:c>
      <x:c r="C7" s="90" t="n">
        <x:f>'09_Firm_Comparison'!E7</x:f>
        <x:v>130.096</x:v>
      </x:c>
      <x:c r="D7" s="90" t="n">
        <x:f>'09_Firm_Comparison'!F7</x:f>
        <x:v>31.219</x:v>
      </x:c>
      <x:c r="E7" s="90" t="n">
        <x:f>'09_Firm_Comparison'!G7</x:f>
        <x:v>16.128</x:v>
      </x:c>
      <x:c r="F7" s="64" t="n">
        <x:f>C7*1000/B7</x:f>
        <x:v>10904.945515507125</x:v>
      </x:c>
      <x:c r="G7" s="43" t="n">
        <x:f>D7/C7</x:f>
        <x:v>0.239968946009101</x:v>
      </x:c>
      <x:c r="H7" s="43" t="n">
        <x:f>E7/C7</x:f>
        <x:v>0.12396999139097281</x:v>
      </x:c>
      <x:c r="J7" t="str">
        <x:v>2025 account growth</x:v>
      </x:c>
      <x:c r="K7" s="43" t="n">
        <x:f>B8/B7-1</x:f>
        <x:v>0.11148365465213739</x:v>
      </x:c>
    </x:row>
    <x:row r="8" ht="15" hidden="0" customHeight="1">
      <x:c r="A8" t="n">
        <x:v>2025</x:v>
      </x:c>
      <x:c r="B8" s="40" t="n">
        <x:f>'09_Firm_Comparison'!B8</x:f>
        <x:v>13.26</x:v>
      </x:c>
      <x:c r="C8" s="90" t="n">
        <x:f>'09_Firm_Comparison'!E8</x:f>
        <x:v>158.34</x:v>
      </x:c>
      <x:c r="D8" s="90" t="n">
        <x:f>'09_Firm_Comparison'!F8</x:f>
        <x:v>44.548</x:v>
      </x:c>
      <x:c r="E8" s="90" t="n">
        <x:f>'09_Firm_Comparison'!G8</x:f>
        <x:v>21.699</x:v>
      </x:c>
      <x:c r="F8" s="64" t="n">
        <x:f>C8*1000/B8</x:f>
        <x:v>11941.176470588236</x:v>
      </x:c>
      <x:c r="G8" s="43" t="n">
        <x:f>D8/C8</x:f>
        <x:v>0.2813439434129089</x:v>
      </x:c>
      <x:c r="H8" s="43" t="n">
        <x:f>E8/C8</x:f>
        <x:v>0.13704054566123533</x:v>
      </x:c>
      <x:c r="J8" t="str">
        <x:v>2026H1 YoY account growth</x:v>
      </x:c>
      <x:c r="K8" s="30" t="n">
        <x:v>0.145</x:v>
      </x:c>
    </x:row>
    <x:row r="9" ht="15" hidden="0" customHeight="1">
      <x:c r="J9" t="str">
        <x:v>2024 revenue/account growth</x:v>
      </x:c>
      <x:c r="K9" s="43" t="n">
        <x:f>F7/F6-1</x:f>
        <x:v>0.003187714838719158</x:v>
      </x:c>
    </x:row>
    <x:row r="10" ht="15" hidden="0" customHeight="1">
      <x:c r="J10" t="str">
        <x:v>2025 revenue/account growth</x:v>
      </x:c>
      <x:c r="K10" s="43" t="n">
        <x:f>F8/F7-1</x:f>
        <x:v>0.09502394611761833</x:v>
      </x:c>
    </x:row>
    <x:row r="11"/>
    <x:row r="12"/>
    <x:row r="13" ht="15" hidden="0" customHeight="1">
      <x:c r="A13" s="22" t="str">
        <x:v>B. Evidence-anchored assumptions</x:v>
      </x:c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 ht="15" hidden="0" customHeight="1">
      <x:c r="A14" s="16" t="str">
        <x:v>Assumption</x:v>
      </x:c>
      <x:c r="B14" s="16" t="str">
        <x:v>Bear</x:v>
      </x:c>
      <x:c r="C14" s="16" t="str">
        <x:v>Base</x:v>
      </x:c>
      <x:c r="D14" s="16" t="str">
        <x:v>Bull</x:v>
      </x:c>
      <x:c r="E14" s="16" t="str">
        <x:v>Unit</x:v>
      </x:c>
      <x:c r="F14" s="16" t="str">
        <x:v>Construction</x:v>
      </x:c>
      <x:c r="G14" s="16" t="str">
        <x:v>Evidence Source</x:v>
      </x:c>
      <x:c r="H14" s="16" t="str">
        <x:v>Editable</x:v>
      </x:c>
      <x:c r="I14" s="16" t="str">
        <x:v>Guardrail</x:v>
      </x:c>
      <x:c r="J14" s="16" t="str">
        <x:v>Rationale</x:v>
      </x:c>
      <x:c r="K14" s="16" t="str">
        <x:v>Important Limitation</x:v>
      </x:c>
    </x:row>
    <x:row r="15" ht="52.79999923706055" hidden="0" customHeight="1">
      <x:c r="A15" t="str">
        <x:v>General-account growth</x:v>
      </x:c>
      <x:c r="B15" s="94" t="n">
        <x:f>'03_Clean_NISA'!C17</x:f>
        <x:v>0.10238374364986336</x:v>
      </x:c>
      <x:c r="C15" s="95" t="n">
        <x:f>K7</x:f>
        <x:v>0.11148365465213739</x:v>
      </x:c>
      <x:c r="D15" s="96" t="n">
        <x:v>0.145</x:v>
      </x:c>
      <x:c r="E15" t="str">
        <x:v>%</x:v>
      </x:c>
      <x:c r="F15" s="18" t="str">
        <x:v>Bear = 2025 national NISA account growth; Base = Rakuten 2025 actual general-account growth; Bull = Rakuten 2026H1 observed YoY general-account growth.</x:v>
      </x:c>
      <x:c r="G15" s="18" t="str">
        <x:v>S02;S03;S23;S24</x:v>
      </x:c>
      <x:c r="H15" s="18" t="str">
        <x:v>Yes</x:v>
      </x:c>
      <x:c r="I15" s="18" t="str">
        <x:v>Observed rates only.</x:v>
      </x:c>
      <x:c r="J15" s="18" t="str">
        <x:v>Transparent customer-growth anchors.</x:v>
      </x:c>
      <x:c r="K15" s="18" t="str">
        <x:v>National NISA growth is not identical to Rakuten general-account growth.</x:v>
      </x:c>
    </x:row>
    <x:row r="16" ht="26.399999618530273" hidden="0" customHeight="1">
      <x:c r="A16" t="str">
        <x:v>Revenue/account growth</x:v>
      </x:c>
      <x:c r="B16" s="95" t="n">
        <x:f>K9</x:f>
        <x:v>0.003187714838719158</x:v>
      </x:c>
      <x:c r="C16" s="95" t="n">
        <x:f>AVERAGE(K9:K10)</x:f>
        <x:v>0.049105830478168744</x:v>
      </x:c>
      <x:c r="D16" s="95" t="n">
        <x:f>K10</x:f>
        <x:v>0.09502394611761833</x:v>
      </x:c>
      <x:c r="E16" t="str">
        <x:v>%</x:v>
      </x:c>
      <x:c r="F16" s="18" t="str">
        <x:v>Bear = Rakuten 2024 actual RPA growth; Base = average 2024/2025; Bull = 2025 actual.</x:v>
      </x:c>
      <x:c r="G16" s="18" t="str">
        <x:v>S22;S23</x:v>
      </x:c>
      <x:c r="H16" s="18" t="str">
        <x:v>Yes</x:v>
      </x:c>
      <x:c r="I16" s="18" t="str">
        <x:v>Observed history only.</x:v>
      </x:c>
      <x:c r="J16" s="18" t="str">
        <x:v>Monetization intensity.</x:v>
      </x:c>
      <x:c r="K16" s="18" t="str">
        <x:v>Revenue mix can vary with markets/rates.</x:v>
      </x:c>
    </x:row>
    <x:row r="17" ht="26.399999618530273" hidden="0" customHeight="1">
      <x:c r="A17" t="str">
        <x:v>Pre-tax margin</x:v>
      </x:c>
      <x:c r="B17" s="95" t="n">
        <x:f>G7</x:f>
        <x:v>0.239968946009101</x:v>
      </x:c>
      <x:c r="C17" s="95" t="n">
        <x:f>AVERAGE(G6:G8)</x:f>
        <x:v>0.25850750303021724</x:v>
      </x:c>
      <x:c r="D17" s="95" t="n">
        <x:f>G8</x:f>
        <x:v>0.2813439434129089</x:v>
      </x:c>
      <x:c r="E17" t="str">
        <x:v>%</x:v>
      </x:c>
      <x:c r="F17" s="18" t="str">
        <x:v>Bear = 2024 actual; Base = 2023-2025 average; Bull = 2025 actual.</x:v>
      </x:c>
      <x:c r="G17" s="18" t="str">
        <x:v>S22</x:v>
      </x:c>
      <x:c r="H17" s="18" t="str">
        <x:v>Yes</x:v>
      </x:c>
      <x:c r="I17" s="18" t="str">
        <x:v>Within observed historical range.</x:v>
      </x:c>
      <x:c r="J17" s="18" t="str">
        <x:v>Profitability cross-check.</x:v>
      </x:c>
      <x:c r="K17" s="18" t="str">
        <x:v>Not the valuation earnings base.</x:v>
      </x:c>
    </x:row>
    <x:row r="18" ht="26.399999618530273" hidden="0" customHeight="1">
      <x:c r="A18" t="str">
        <x:v>Net margin</x:v>
      </x:c>
      <x:c r="B18" s="95" t="n">
        <x:f>H7</x:f>
        <x:v>0.12396999139097281</x:v>
      </x:c>
      <x:c r="C18" s="95" t="n">
        <x:f>AVERAGE(H6:H8)</x:f>
        <x:v>0.1391814512680348</x:v>
      </x:c>
      <x:c r="D18" s="95" t="n">
        <x:f>MAX(H6:H8)</x:f>
        <x:v>0.15653381675189626</x:v>
      </x:c>
      <x:c r="E18" t="str">
        <x:v>%</x:v>
      </x:c>
      <x:c r="F18" s="18" t="str">
        <x:v>Bear = 2024 actual; Base = 2023-2025 average; Bull = highest 2023-2025 actual.</x:v>
      </x:c>
      <x:c r="G18" s="18" t="str">
        <x:v>S22</x:v>
      </x:c>
      <x:c r="H18" s="18" t="str">
        <x:v>Yes</x:v>
      </x:c>
      <x:c r="I18" s="18" t="str">
        <x:v>Within observed historical range.</x:v>
      </x:c>
      <x:c r="J18" s="18" t="str">
        <x:v>Valuation earnings proxy.</x:v>
      </x:c>
      <x:c r="K18" s="18" t="str">
        <x:v>Taxes/extraordinary items can change.</x:v>
      </x:c>
    </x:row>
    <x:row r="19" ht="26.399999618530273" hidden="0" customHeight="1">
      <x:c r="A19" t="str">
        <x:v>PER low</x:v>
      </x:c>
      <x:c r="B19" s="97" t="n">
        <x:v>16.2</x:v>
      </x:c>
      <x:c r="C19" s="97" t="n">
        <x:v>16.2</x:v>
      </x:c>
      <x:c r="D19" s="97" t="n">
        <x:v>16.2</x:v>
      </x:c>
      <x:c r="E19" t="str">
        <x:v>x</x:v>
      </x:c>
      <x:c r="F19" s="18" t="str">
        <x:v>Daiwa lower bound for Rakuten Securities HD valuation.</x:v>
      </x:c>
      <x:c r="G19" s="18" t="str">
        <x:v>S22</x:v>
      </x:c>
      <x:c r="H19" s="18" t="str">
        <x:v>Yes</x:v>
      </x:c>
      <x:c r="I19" s="18" t="str">
        <x:v>Published transaction valuation input.</x:v>
      </x:c>
      <x:c r="J19" s="18" t="str">
        <x:v>Evidence-based sensitivity.</x:v>
      </x:c>
      <x:c r="K19" s="18" t="str">
        <x:v>Rakuten Securities HD perimeter differs from Rakuten Securities Inc.</x:v>
      </x:c>
    </x:row>
    <x:row r="20" ht="15" hidden="0" customHeight="1">
      <x:c r="A20" t="str">
        <x:v>PER mid</x:v>
      </x:c>
      <x:c r="B20" s="97" t="n">
        <x:v>18</x:v>
      </x:c>
      <x:c r="C20" s="97" t="n">
        <x:v>18</x:v>
      </x:c>
      <x:c r="D20" s="97" t="n">
        <x:v>18</x:v>
      </x:c>
      <x:c r="E20" t="str">
        <x:v>x</x:v>
      </x:c>
      <x:c r="F20" s="18" t="str">
        <x:v>Midpoint of Daiwa 16.2x-19.8x range.</x:v>
      </x:c>
      <x:c r="G20" s="18" t="str">
        <x:v>S22</x:v>
      </x:c>
      <x:c r="H20" s="18" t="str">
        <x:v>Yes</x:v>
      </x:c>
      <x:c r="I20" s="18" t="str">
        <x:v>Mathematical midpoint.</x:v>
      </x:c>
      <x:c r="J20" s="18" t="str">
        <x:v>Evidence-based sensitivity.</x:v>
      </x:c>
      <x:c r="K20" s="18" t="str">
        <x:v>Not a current public-market trading multiple.</x:v>
      </x:c>
    </x:row>
    <x:row r="21" ht="26.399999618530273" hidden="0" customHeight="1">
      <x:c r="A21" t="str">
        <x:v>PER high</x:v>
      </x:c>
      <x:c r="B21" s="97" t="n">
        <x:v>19.8</x:v>
      </x:c>
      <x:c r="C21" s="97" t="n">
        <x:v>19.8</x:v>
      </x:c>
      <x:c r="D21" s="97" t="n">
        <x:v>19.8</x:v>
      </x:c>
      <x:c r="E21" t="str">
        <x:v>x</x:v>
      </x:c>
      <x:c r="F21" s="18" t="str">
        <x:v>Daiwa upper bound for Rakuten Securities HD valuation.</x:v>
      </x:c>
      <x:c r="G21" s="18" t="str">
        <x:v>S22</x:v>
      </x:c>
      <x:c r="H21" s="18" t="str">
        <x:v>Yes</x:v>
      </x:c>
      <x:c r="I21" s="18" t="str">
        <x:v>Published transaction valuation input.</x:v>
      </x:c>
      <x:c r="J21" s="18" t="str">
        <x:v>Evidence-based sensitivity.</x:v>
      </x:c>
      <x:c r="K21" s="18" t="str">
        <x:v>Not a formal target/fairness opinion.</x:v>
      </x:c>
    </x:row>
    <x:row r="22"/>
    <x:row r="23"/>
    <x:row r="24" ht="15" hidden="0" customHeight="1">
      <x:c r="A24" s="22" t="str">
        <x:v>C. Forecast output</x:v>
      </x:c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 ht="21.600000381469727" hidden="0" customHeight="1">
      <x:c r="A25" s="16" t="str">
        <x:v>Scenario</x:v>
      </x:c>
      <x:c r="B25" s="16" t="str">
        <x:v>Year</x:v>
      </x:c>
      <x:c r="C25" s="16" t="str">
        <x:v>Accounts (m)</x:v>
      </x:c>
      <x:c r="D25" s="16" t="str">
        <x:v>Revenue / Account (¥)</x:v>
      </x:c>
      <x:c r="E25" s="16" t="str">
        <x:v>Revenue (¥bn)</x:v>
      </x:c>
      <x:c r="F25" s="16" t="str">
        <x:v>Pre-tax Income (¥bn)</x:v>
      </x:c>
      <x:c r="G25" s="16" t="str">
        <x:v>Net Income Proxy (¥bn)</x:v>
      </x:c>
      <x:c r="H25" s="16" t="str">
        <x:v>16.2x Equity-Value Sens. (¥bn)</x:v>
      </x:c>
      <x:c r="I25" s="16" t="str">
        <x:v>18.0x Sens. (¥bn)</x:v>
      </x:c>
      <x:c r="J25" s="16" t="str">
        <x:v>19.8x Sens. (¥bn)</x:v>
      </x:c>
      <x:c r="K25" s="16" t="str">
        <x:v>Notes</x:v>
      </x:c>
    </x:row>
    <x:row r="26" ht="15" hidden="0" customHeight="1">
      <x:c r="A26" s="104" t="str">
        <x:v>Bear</x:v>
      </x:c>
      <x:c r="B26" s="104" t="n">
        <x:v>2026</x:v>
      </x:c>
      <x:c r="C26" s="105" t="n">
        <x:f>$B$8*(1+$B$15)</x:f>
        <x:v>14.617608440797188</x:v>
      </x:c>
      <x:c r="D26" s="153" t="n">
        <x:f>$F$8*(1+$B$16)</x:f>
        <x:v>11979.241536015294</x:v>
      </x:c>
      <x:c r="E26" s="107" t="n">
        <x:f>C26*D26/1000</x:f>
        <x:v>175.10786219120544</x:v>
      </x:c>
      <x:c r="F26" s="107" t="n">
        <x:f>E26*$B$17</x:f>
        <x:v>42.020449127930476</x:v>
      </x:c>
      <x:c r="G26" s="107" t="n">
        <x:f>E26*$B$18</x:f>
        <x:v>21.70812016833539</x:v>
      </x:c>
      <x:c r="H26" s="107" t="n">
        <x:f>G26*$B$19</x:f>
        <x:v>351.67154672703333</x:v>
      </x:c>
      <x:c r="I26" s="107" t="n">
        <x:f>G26*$B$20</x:f>
        <x:v>390.74616303003705</x:v>
      </x:c>
      <x:c r="J26" s="107" t="n">
        <x:f>G26*$B$21</x:f>
        <x:v>429.8207793330408</x:v>
      </x:c>
      <x:c r="K26" s="104" t="str">
        <x:v>Conservative national-market anchor.</x:v>
      </x:c>
    </x:row>
    <x:row r="27" ht="15" hidden="0" customHeight="1">
      <x:c r="A27" s="104" t="str">
        <x:v>Bear</x:v>
      </x:c>
      <x:c r="B27" s="104" t="n">
        <x:v>2027</x:v>
      </x:c>
      <x:c r="C27" s="105" t="n">
        <x:f>C26*(1+$B$15)</x:f>
        <x:v>16.114213916173846</x:v>
      </x:c>
      <x:c r="D27" s="153" t="n">
        <x:f>D26*(1+$B$16)</x:f>
        <x:v>12017.427942016251</x:v>
      </x:c>
      <x:c r="E27" s="107" t="n">
        <x:f>C27*D27/1000</x:f>
        <x:v>193.6514045798547</x:v>
      </x:c>
      <x:c r="F27" s="107" t="n">
        <x:f>E27*$B$17</x:f>
        <x:v>46.470323450209726</x:v>
      </x:c>
      <x:c r="G27" s="107" t="n">
        <x:f>E27*$B$18</x:f>
        <x:v>24.00696295861438</x:v>
      </x:c>
      <x:c r="H27" s="107" t="n">
        <x:f>G27*$B$19</x:f>
        <x:v>388.91279992955293</x:v>
      </x:c>
      <x:c r="I27" s="107" t="n">
        <x:f>G27*$B$20</x:f>
        <x:v>432.1253332550589</x:v>
      </x:c>
      <x:c r="J27" s="107" t="n">
        <x:f>G27*$B$21</x:f>
        <x:v>475.33786658056476</x:v>
      </x:c>
      <x:c r="K27" s="104" t="str"/>
    </x:row>
    <x:row r="28" ht="15" hidden="0" customHeight="1">
      <x:c r="A28" s="104" t="str">
        <x:v>Bear</x:v>
      </x:c>
      <x:c r="B28" s="104" t="n">
        <x:v>2028</x:v>
      </x:c>
      <x:c r="C28" s="105" t="n">
        <x:f>C27*(1+$B$15)</x:f>
        <x:v>17.76404746288645</x:v>
      </x:c>
      <x:c r="D28" s="153" t="n">
        <x:f>D27*(1+$B$16)</x:f>
        <x:v>12055.736075390254</x:v>
      </x:c>
      <x:c r="E28" s="107" t="n">
        <x:f>C28*D28/1000</x:f>
        <x:v>214.15866784326488</x:v>
      </x:c>
      <x:c r="F28" s="107" t="n">
        <x:f>E28*$B$17</x:f>
        <x:v>51.39142980106142</x:v>
      </x:c>
      <x:c r="G28" s="107" t="n">
        <x:f>E28*$B$18</x:f>
        <x:v>26.549248208831752</x:v>
      </x:c>
      <x:c r="H28" s="107" t="n">
        <x:f>G28*$B$19</x:f>
        <x:v>430.09782098307437</x:v>
      </x:c>
      <x:c r="I28" s="107" t="n">
        <x:f>G28*$B$20</x:f>
        <x:v>477.88646775897155</x:v>
      </x:c>
      <x:c r="J28" s="107" t="n">
        <x:f>G28*$B$21</x:f>
        <x:v>525.6751145348687</x:v>
      </x:c>
      <x:c r="K28" s="104" t="str"/>
    </x:row>
    <x:row r="29" ht="15" hidden="0" customHeight="1">
      <x:c r="A29" s="6" t="str">
        <x:v>Base</x:v>
      </x:c>
      <x:c r="B29" s="6" t="n">
        <x:v>2026</x:v>
      </x:c>
      <x:c r="C29" s="112" t="n">
        <x:f>$B$8*(1+$C$15)</x:f>
        <x:v>14.738273260687341</x:v>
      </x:c>
      <x:c r="D29" s="154" t="n">
        <x:f>$F$8*(1+$C$16)</x:f>
        <x:v>12527.55785806284</x:v>
      </x:c>
      <x:c r="E29" s="114" t="n">
        <x:f>C29*D29/1000</x:f>
        <x:v>184.63457100120115</x:v>
      </x:c>
      <x:c r="F29" s="114" t="n">
        <x:f>E29*$C$17</x:f>
        <x:v>47.72942192257587</x:v>
      </x:c>
      <x:c r="G29" s="114" t="n">
        <x:f>E29*$C$18</x:f>
        <x:v>25.69770754619819</x:v>
      </x:c>
      <x:c r="H29" s="114" t="n">
        <x:f>G29*$C$19</x:f>
        <x:v>416.30286224841063</x:v>
      </x:c>
      <x:c r="I29" s="114" t="n">
        <x:f>G29*$C$20</x:f>
        <x:v>462.5587358315674</x:v>
      </x:c>
      <x:c r="J29" s="114" t="n">
        <x:f>G29*$C$21</x:f>
        <x:v>508.81460941472415</x:v>
      </x:c>
      <x:c r="K29" s="6" t="str">
        <x:v>Rakuten 2025 actual customer growth.</x:v>
      </x:c>
    </x:row>
    <x:row r="30" ht="15" hidden="0" customHeight="1">
      <x:c r="A30" s="6" t="str">
        <x:v>Base</x:v>
      </x:c>
      <x:c r="B30" s="6" t="n">
        <x:v>2027</x:v>
      </x:c>
      <x:c r="C30" s="112" t="n">
        <x:f>C29*(1+$C$15)</x:f>
        <x:v>16.38134982705064</x:v>
      </x:c>
      <x:c r="D30" s="154" t="n">
        <x:f>D29*(1+$C$16)</x:f>
        <x:v>13142.733990546327</x:v>
      </x:c>
      <x:c r="E30" s="114" t="n">
        <x:f>C30*D30/1000</x:f>
        <x:v>215.29572318300868</x:v>
      </x:c>
      <x:c r="F30" s="114" t="n">
        <x:f>E30*$C$17</x:f>
        <x:v>55.65555981312443</x:v>
      </x:c>
      <x:c r="G30" s="114" t="n">
        <x:f>E30*$C$18</x:f>
        <x:v>29.965171204412233</x:v>
      </x:c>
      <x:c r="H30" s="114" t="n">
        <x:f>G30*$C$19</x:f>
        <x:v>485.43577351147815</x:v>
      </x:c>
      <x:c r="I30" s="114" t="n">
        <x:f>G30*$C$20</x:f>
        <x:v>539.3730816794202</x:v>
      </x:c>
      <x:c r="J30" s="114" t="n">
        <x:f>G30*$C$21</x:f>
        <x:v>593.3103898473622</x:v>
      </x:c>
      <x:c r="K30" s="6" t="str"/>
    </x:row>
    <x:row r="31" ht="15" hidden="0" customHeight="1">
      <x:c r="A31" s="6" t="str">
        <x:v>Base</x:v>
      </x:c>
      <x:c r="B31" s="6" t="n">
        <x:v>2028</x:v>
      </x:c>
      <x:c r="C31" s="112" t="n">
        <x:f>C30*(1+$C$15)</x:f>
        <x:v>18.207602573905405</x:v>
      </x:c>
      <x:c r="D31" s="154" t="n">
        <x:f>D30*(1+$C$16)</x:f>
        <x:v>13788.118857905762</x:v>
      </x:c>
      <x:c r="E31" s="114" t="n">
        <x:f>C31*D31/1000</x:f>
        <x:v>251.0485884065186</x:v>
      </x:c>
      <x:c r="F31" s="114" t="n">
        <x:f>E31*$C$17</x:f>
        <x:v>64.89794372822988</x:v>
      </x:c>
      <x:c r="G31" s="114" t="n">
        <x:f>E31*$C$18</x:f>
        <x:v>34.9413068732108</x:v>
      </x:c>
      <x:c r="H31" s="114" t="n">
        <x:f>G31*$C$19</x:f>
        <x:v>566.0491713460149</x:v>
      </x:c>
      <x:c r="I31" s="114" t="n">
        <x:f>G31*$C$20</x:f>
        <x:v>628.9435237177944</x:v>
      </x:c>
      <x:c r="J31" s="114" t="n">
        <x:f>G31*$C$21</x:f>
        <x:v>691.8378760895738</x:v>
      </x:c>
      <x:c r="K31" s="6" t="str"/>
    </x:row>
    <x:row r="32" ht="15" hidden="0" customHeight="1">
      <x:c r="A32" s="74" t="str">
        <x:v>Bull</x:v>
      </x:c>
      <x:c r="B32" s="74" t="n">
        <x:v>2026</x:v>
      </x:c>
      <x:c r="C32" s="118" t="n">
        <x:f>$B$8*(1+$D$15)</x:f>
        <x:v>15.1827</x:v>
      </x:c>
      <x:c r="D32" s="155" t="n">
        <x:f>$F$8*(1+$D$16)</x:f>
        <x:v>13075.874180110384</x:v>
      </x:c>
      <x:c r="E32" s="120" t="n">
        <x:f>C32*D32/1000</x:f>
        <x:v>198.52707491436192</x:v>
      </x:c>
      <x:c r="F32" s="120" t="n">
        <x:f>E32*$D$17</x:f>
        <x:v>55.85439013063657</x:v>
      </x:c>
      <x:c r="G32" s="120" t="n">
        <x:f>E32*$D$18</x:f>
        <x:v>31.076200764934708</x:v>
      </x:c>
      <x:c r="H32" s="120" t="n">
        <x:f>G32*$D$19</x:f>
        <x:v>503.4344523919422</x:v>
      </x:c>
      <x:c r="I32" s="120" t="n">
        <x:f>G32*$D$20</x:f>
        <x:v>559.3716137688248</x:v>
      </x:c>
      <x:c r="J32" s="120" t="n">
        <x:f>G32*$D$21</x:f>
        <x:v>615.3087751457073</x:v>
      </x:c>
      <x:c r="K32" s="74" t="str">
        <x:v>Rakuten 2026H1 observed customer growth.</x:v>
      </x:c>
    </x:row>
    <x:row r="33" ht="15" hidden="0" customHeight="1">
      <x:c r="A33" s="74" t="str">
        <x:v>Bull</x:v>
      </x:c>
      <x:c r="B33" s="74" t="n">
        <x:v>2027</x:v>
      </x:c>
      <x:c r="C33" s="118" t="n">
        <x:f>C32*(1+$D$15)</x:f>
        <x:v>17.3841915</x:v>
      </x:c>
      <x:c r="D33" s="155" t="n">
        <x:f>D32*(1+$D$16)</x:f>
        <x:v>14318.39534364195</x:v>
      </x:c>
      <x:c r="E33" s="120" t="n">
        <x:f>C33*D33/1000</x:f>
        <x:v>248.91372662657997</x:v>
      </x:c>
      <x:c r="F33" s="120" t="n">
        <x:f>E33*$D$17</x:f>
        <x:v>70.03036941872479</x:v>
      </x:c>
      <x:c r="G33" s="120" t="n">
        <x:f>E33*$D$18</x:f>
        <x:v>38.96341567079667</x:v>
      </x:c>
      <x:c r="H33" s="120" t="n">
        <x:f>G33*$D$19</x:f>
        <x:v>631.2073338669061</x:v>
      </x:c>
      <x:c r="I33" s="120" t="n">
        <x:f>G33*$D$20</x:f>
        <x:v>701.3414820743401</x:v>
      </x:c>
      <x:c r="J33" s="120" t="n">
        <x:f>G33*$D$21</x:f>
        <x:v>771.4756302817741</x:v>
      </x:c>
      <x:c r="K33" s="74" t="str"/>
    </x:row>
    <x:row r="34" ht="15" hidden="0" customHeight="1">
      <x:c r="A34" s="74" t="str">
        <x:v>Bull</x:v>
      </x:c>
      <x:c r="B34" s="74" t="n">
        <x:v>2028</x:v>
      </x:c>
      <x:c r="C34" s="118" t="n">
        <x:f>C33*(1+$D$15)</x:f>
        <x:v>19.9048992675</x:v>
      </x:c>
      <x:c r="D34" s="155" t="n">
        <x:f>D33*(1+$D$16)</x:f>
        <x:v>15678.98577126694</x:v>
      </x:c>
      <x:c r="E34" s="120" t="n">
        <x:f>C34*D34/1000</x:f>
        <x:v>312.0886323936342</x:v>
      </x:c>
      <x:c r="F34" s="120" t="n">
        <x:f>E34*$D$17</x:f>
        <x:v>87.80424653196675</x:v>
      </x:c>
      <x:c r="G34" s="120" t="n">
        <x:f>E34*$D$18</x:f>
        <x:v>48.85242479345505</x:v>
      </x:c>
      <x:c r="H34" s="120" t="n">
        <x:f>G34*$D$19</x:f>
        <x:v>791.4092816539718</x:v>
      </x:c>
      <x:c r="I34" s="120" t="n">
        <x:f>G34*$D$20</x:f>
        <x:v>879.3436462821909</x:v>
      </x:c>
      <x:c r="J34" s="120" t="n">
        <x:f>G34*$D$21</x:f>
        <x:v>967.27801091041</x:v>
      </x:c>
      <x:c r="K34" s="74" t="str"/>
    </x:row>
    <x:row r="35"/>
    <x:row r="36"/>
    <x:row r="37" ht="15" hidden="0" customHeight="1">
      <x:c r="A37" s="22" t="str">
        <x:v>D. Valuation-method caveat</x:v>
      </x:c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84" t="str">
        <x:v>The PER range is evidence-based: Daiwa Securities used 16.2x-19.8x PER in May 2026 valuation work for Rakuten Securities Holdings, alongside a DDM using 7.5%-9.5% cost of capital and 1.0%-2.0% perpetual growth. Here that PER range is applied mechanically to a simplified Rakuten Securities Inc. net-income forecast. Legal/perimeter differences mean the resulting values are sensitivities, not formal equity values or investment recommendations.</x:v>
      </x:c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</x:row>
    <x:row r="40">
      <x:c r="A40" s="84"/>
      <x:c r="B40" s="84"/>
      <x:c r="C40" s="84"/>
      <x:c r="D40" s="84"/>
      <x:c r="E40" s="84"/>
      <x:c r="F40" s="84"/>
      <x:c r="G40" s="84"/>
      <x:c r="H40" s="84"/>
      <x:c r="I40" s="84"/>
      <x:c r="J40" s="84"/>
      <x:c r="K40" s="84"/>
    </x:row>
    <x:row r="41">
      <x:c r="A41" s="84"/>
      <x:c r="B41" s="84"/>
      <x:c r="C41" s="84"/>
      <x:c r="D41" s="84"/>
      <x:c r="E41" s="84"/>
      <x:c r="F41" s="84"/>
      <x:c r="G41" s="84"/>
      <x:c r="H41" s="84"/>
      <x:c r="I41" s="84"/>
      <x:c r="J41" s="84"/>
      <x:c r="K41" s="84"/>
    </x:row>
    <x:row r="42">
      <x:c r="A42" s="84"/>
      <x:c r="B42" s="84"/>
      <x:c r="C42" s="84"/>
      <x:c r="D42" s="84"/>
      <x:c r="E42" s="84"/>
      <x:c r="F42" s="84"/>
      <x:c r="G42" s="84"/>
      <x:c r="H42" s="84"/>
      <x:c r="I42" s="84"/>
      <x:c r="J42" s="84"/>
      <x:c r="K42" s="84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K1"/>
    <x:mergeCell ref="A2:K2"/>
    <x:mergeCell ref="A4:H4"/>
    <x:mergeCell ref="A13:K13"/>
    <x:mergeCell ref="A24:K24"/>
    <x:mergeCell ref="A37:K37"/>
    <x:mergeCell ref="A38:K4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9" hidden="0" customWidth="1"/>
    <x:col min="3" max="3" width="50" hidden="0" customWidth="1"/>
    <x:col min="4" max="4" width="17" hidden="0" customWidth="1"/>
    <x:col min="5" max="5" width="20" hidden="0" customWidth="1"/>
    <x:col min="6" max="6" width="17" hidden="0" customWidth="1"/>
    <x:col min="7" max="7" width="42" hidden="0" customWidth="1"/>
    <x:col min="8" max="8" width="19" hidden="0" customWidth="1"/>
    <x:col min="9" max="9" width="29" hidden="0" customWidth="1"/>
    <x:col min="10" max="10" width="31" hidden="0" customWidth="1"/>
    <x:col min="11" max="11" width="45" hidden="0" customWidth="1"/>
    <x:col min="12" max="12" width="18" hidden="0" customWidth="1"/>
  </x:cols>
  <x:sheetData>
    <x:row r="1" ht="19.200000762939453" hidden="0" customHeight="1">
      <x:c r="A1" s="4" t="str">
        <x:v>11_Variable_Dict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15" hidden="0" customHeight="1">
      <x:c r="A2" s="10" t="str">
        <x:v>Variable key for every major raw input, derived metric and scenario assumption.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/>
    <x:row r="4" ht="15" hidden="0" customHeight="1">
      <x:c r="A4" s="16" t="str">
        <x:v>Variable ID</x:v>
      </x:c>
      <x:c r="B4" s="16" t="str">
        <x:v>Variable Name</x:v>
      </x:c>
      <x:c r="C4" s="16" t="str">
        <x:v>Definition</x:v>
      </x:c>
      <x:c r="D4" s="16" t="str">
        <x:v>Unit</x:v>
      </x:c>
      <x:c r="E4" s="16" t="str">
        <x:v>Period/Frequency</x:v>
      </x:c>
      <x:c r="F4" s="16" t="str">
        <x:v>Type</x:v>
      </x:c>
      <x:c r="G4" s="16" t="str">
        <x:v>Formula / Aggregation</x:v>
      </x:c>
      <x:c r="H4" s="16" t="str">
        <x:v>Source ID(s)</x:v>
      </x:c>
      <x:c r="I4" s="16" t="str">
        <x:v>Workbook Location</x:v>
      </x:c>
      <x:c r="J4" s="16" t="str">
        <x:v>Analytical Use</x:v>
      </x:c>
      <x:c r="K4" s="16" t="str">
        <x:v>Caveat</x:v>
      </x:c>
      <x:c r="L4" s="16" t="str">
        <x:v>Color</x:v>
      </x:c>
    </x:row>
    <x:row r="5" ht="15" hidden="0" customHeight="1">
      <x:c r="A5" s="18" t="str">
        <x:v>NISA_ACCTS_ALL</x:v>
      </x:c>
      <x:c r="B5" s="18" t="str">
        <x:v>All-institution NISA accounts</x:v>
      </x:c>
      <x:c r="C5" s="18" t="str">
        <x:v>Year-end NISA accounts across all institutions.</x:v>
      </x:c>
      <x:c r="D5" s="18" t="str">
        <x:v>m accounts</x:v>
      </x:c>
      <x:c r="E5" s="18" t="str">
        <x:v>Annual YE</x:v>
      </x:c>
      <x:c r="F5" s="18" t="str">
        <x:v>Raw</x:v>
      </x:c>
      <x:c r="G5" s="18" t="str">
        <x:v>None</x:v>
      </x:c>
      <x:c r="H5" s="18" t="str">
        <x:v>S02;S03;S06;S07</x:v>
      </x:c>
      <x:c r="I5" s="18" t="str">
        <x:v>02_Raw_NISA B6:B17</x:v>
      </x:c>
      <x:c r="J5" s="18" t="str">
        <x:v>National participation</x:v>
      </x:c>
      <x:c r="K5" s="18" t="str">
        <x:v>Rounded historical stocks.</x:v>
      </x:c>
      <x:c r="L5" s="18" t="str">
        <x:v>Blue</x:v>
      </x:c>
    </x:row>
    <x:row r="6" ht="15" hidden="0" customHeight="1">
      <x:c r="A6" s="18" t="str">
        <x:v>NISA_ACCTS_SEC</x:v>
      </x:c>
      <x:c r="B6" s="18" t="str">
        <x:v>Securities NISA accounts</x:v>
      </x:c>
      <x:c r="C6" s="18" t="str">
        <x:v>Year-end NISA accounts at securities companies.</x:v>
      </x:c>
      <x:c r="D6" s="18" t="str">
        <x:v>m accounts</x:v>
      </x:c>
      <x:c r="E6" s="18" t="str">
        <x:v>Annual YE</x:v>
      </x:c>
      <x:c r="F6" s="18" t="str">
        <x:v>Raw</x:v>
      </x:c>
      <x:c r="G6" s="18" t="str">
        <x:v>None</x:v>
      </x:c>
      <x:c r="H6" s="18" t="str">
        <x:v>S03</x:v>
      </x:c>
      <x:c r="I6" s="18" t="str">
        <x:v>02_Raw_NISA C6:C17</x:v>
      </x:c>
      <x:c r="J6" s="18" t="str">
        <x:v>Brokerage participation</x:v>
      </x:c>
      <x:c r="K6" s="18" t="str">
        <x:v>Narrower universe.</x:v>
      </x:c>
      <x:c r="L6" s="18" t="str">
        <x:v>Blue</x:v>
      </x:c>
    </x:row>
    <x:row r="7" ht="15" hidden="0" customHeight="1">
      <x:c r="A7" s="18" t="str">
        <x:v>SEC_CUM_PURCHASE</x:v>
      </x:c>
      <x:c r="B7" s="18" t="str">
        <x:v>Securities cumulative purchases</x:v>
      </x:c>
      <x:c r="C7" s="18" t="str">
        <x:v>Cumulative securities-company NISA purchases.</x:v>
      </x:c>
      <x:c r="D7" s="18" t="str">
        <x:v>¥tn</x:v>
      </x:c>
      <x:c r="E7" s="18" t="str">
        <x:v>Annual YE</x:v>
      </x:c>
      <x:c r="F7" s="18" t="str">
        <x:v>Raw</x:v>
      </x:c>
      <x:c r="G7" s="18" t="str">
        <x:v>None</x:v>
      </x:c>
      <x:c r="H7" s="18" t="str">
        <x:v>S03</x:v>
      </x:c>
      <x:c r="I7" s="18" t="str">
        <x:v>02_Raw_NISA D6:D16</x:v>
      </x:c>
      <x:c r="J7" s="18" t="str">
        <x:v>Derive annual flows</x:v>
      </x:c>
      <x:c r="K7" s="18" t="str">
        <x:v>2025 annual flow used directly.</x:v>
      </x:c>
      <x:c r="L7" s="18" t="str">
        <x:v>Blue</x:v>
      </x:c>
    </x:row>
    <x:row r="8" ht="15" hidden="0" customHeight="1">
      <x:c r="A8" s="18" t="str">
        <x:v>ACCT_YOY_ALL</x:v>
      </x:c>
      <x:c r="B8" s="18" t="str">
        <x:v>All-account YoY growth</x:v>
      </x:c>
      <x:c r="C8" s="18" t="str">
        <x:v>Current national accounts / prior - 1.</x:v>
      </x:c>
      <x:c r="D8" s="18" t="str">
        <x:v>%</x:v>
      </x:c>
      <x:c r="E8" s="18" t="str">
        <x:v>Annual</x:v>
      </x:c>
      <x:c r="F8" s="18" t="str">
        <x:v>Formula</x:v>
      </x:c>
      <x:c r="G8" s="18" t="str">
        <x:v>B_t/B_t-1-1</x:v>
      </x:c>
      <x:c r="H8" s="18" t="str">
        <x:v>Derived</x:v>
      </x:c>
      <x:c r="I8" s="18" t="str">
        <x:v>03_Clean_NISA C7:C17</x:v>
      </x:c>
      <x:c r="J8" s="18" t="str">
        <x:v>H1</x:v>
      </x:c>
      <x:c r="K8" s="18" t="str">
        <x:v>Descriptive.</x:v>
      </x:c>
      <x:c r="L8" s="18" t="str">
        <x:v>Black</x:v>
      </x:c>
    </x:row>
    <x:row r="9" ht="15" hidden="0" customHeight="1">
      <x:c r="A9" s="18" t="str">
        <x:v>NET_NEW_ALL</x:v>
      </x:c>
      <x:c r="B9" s="18" t="str">
        <x:v>Net new all accounts</x:v>
      </x:c>
      <x:c r="C9" s="18" t="str">
        <x:v>Current national accounts - prior.</x:v>
      </x:c>
      <x:c r="D9" s="18" t="str">
        <x:v>m accounts</x:v>
      </x:c>
      <x:c r="E9" s="18" t="str">
        <x:v>Annual</x:v>
      </x:c>
      <x:c r="F9" s="18" t="str">
        <x:v>Formula</x:v>
      </x:c>
      <x:c r="G9" s="18" t="str">
        <x:v>B_t-B_t-1</x:v>
      </x:c>
      <x:c r="H9" s="18" t="str">
        <x:v>Derived</x:v>
      </x:c>
      <x:c r="I9" s="18" t="str">
        <x:v>03_Clean_NISA D7:D17</x:v>
      </x:c>
      <x:c r="J9" s="18" t="str">
        <x:v>Absolute expansion</x:v>
      </x:c>
      <x:c r="K9" s="18" t="str">
        <x:v>Net stock change.</x:v>
      </x:c>
      <x:c r="L9" s="18" t="str">
        <x:v>Black</x:v>
      </x:c>
    </x:row>
    <x:row r="10" ht="15" hidden="0" customHeight="1">
      <x:c r="A10" s="18" t="str">
        <x:v>ACCT_YOY_SEC</x:v>
      </x:c>
      <x:c r="B10" s="18" t="str">
        <x:v>Securities account YoY</x:v>
      </x:c>
      <x:c r="C10" s="18" t="str">
        <x:v>Current securities accounts / prior - 1.</x:v>
      </x:c>
      <x:c r="D10" s="18" t="str">
        <x:v>%</x:v>
      </x:c>
      <x:c r="E10" s="18" t="str">
        <x:v>Annual</x:v>
      </x:c>
      <x:c r="F10" s="18" t="str">
        <x:v>Formula</x:v>
      </x:c>
      <x:c r="G10" s="18" t="str">
        <x:v>E_t/E_t-1-1</x:v>
      </x:c>
      <x:c r="H10" s="18" t="str">
        <x:v>Derived</x:v>
      </x:c>
      <x:c r="I10" s="18" t="str">
        <x:v>03_Clean_NISA F7:F17</x:v>
      </x:c>
      <x:c r="J10" s="18" t="str">
        <x:v>H1</x:v>
      </x:c>
      <x:c r="K10" s="18" t="str">
        <x:v>Descriptive.</x:v>
      </x:c>
      <x:c r="L10" s="18" t="str">
        <x:v>Black</x:v>
      </x:c>
    </x:row>
    <x:row r="11" ht="15" hidden="0" customHeight="1">
      <x:c r="A11" s="18" t="str">
        <x:v>NET_NEW_SEC</x:v>
      </x:c>
      <x:c r="B11" s="18" t="str">
        <x:v>Net new securities accounts</x:v>
      </x:c>
      <x:c r="C11" s="18" t="str">
        <x:v>Current securities account stock - prior.</x:v>
      </x:c>
      <x:c r="D11" s="18" t="str">
        <x:v>m accounts</x:v>
      </x:c>
      <x:c r="E11" s="18" t="str">
        <x:v>Annual</x:v>
      </x:c>
      <x:c r="F11" s="18" t="str">
        <x:v>Formula</x:v>
      </x:c>
      <x:c r="G11" s="18" t="str">
        <x:v>E_t-E_t-1</x:v>
      </x:c>
      <x:c r="H11" s="18" t="str">
        <x:v>Derived</x:v>
      </x:c>
      <x:c r="I11" s="18" t="str">
        <x:v>03_Clean_NISA G7:G17</x:v>
      </x:c>
      <x:c r="J11" s="18" t="str">
        <x:v>Absolute brokerage expansion</x:v>
      </x:c>
      <x:c r="K11" s="18" t="str">
        <x:v>Net stock change.</x:v>
      </x:c>
      <x:c r="L11" s="18" t="str">
        <x:v>Black</x:v>
      </x:c>
    </x:row>
    <x:row r="12" ht="15" hidden="0" customHeight="1">
      <x:c r="A12" s="18" t="str">
        <x:v>SEC_ANN_PURCHASE</x:v>
      </x:c>
      <x:c r="B12" s="18" t="str">
        <x:v>Securities annual purchases</x:v>
      </x:c>
      <x:c r="C12" s="18" t="str">
        <x:v>Annual securities-company NISA purchase flow.</x:v>
      </x:c>
      <x:c r="D12" s="18" t="str">
        <x:v>¥tn</x:v>
      </x:c>
      <x:c r="E12" s="18" t="str">
        <x:v>Annual</x:v>
      </x:c>
      <x:c r="F12" s="18" t="str">
        <x:v>Formula/direct</x:v>
      </x:c>
      <x:c r="G12" s="18" t="str">
        <x:v>Cumulative difference; 2025 direct final</x:v>
      </x:c>
      <x:c r="H12" s="18" t="str">
        <x:v>S03</x:v>
      </x:c>
      <x:c r="I12" s="18" t="str">
        <x:v>03_Clean_NISA I7:I17</x:v>
      </x:c>
      <x:c r="J12" s="18" t="str">
        <x:v>H1 purchase intensity</x:v>
      </x:c>
      <x:c r="K12" s="18" t="str">
        <x:v>Limits changed in 2024.</x:v>
      </x:c>
      <x:c r="L12" s="18" t="str">
        <x:v>Black/Green</x:v>
      </x:c>
    </x:row>
    <x:row r="13" ht="15" hidden="0" customHeight="1">
      <x:c r="A13" s="18" t="str">
        <x:v>SEC_PURCHASE_YOY</x:v>
      </x:c>
      <x:c r="B13" s="18" t="str">
        <x:v>Securities purchase growth</x:v>
      </x:c>
      <x:c r="C13" s="18" t="str">
        <x:v>Annual flow / prior flow - 1.</x:v>
      </x:c>
      <x:c r="D13" s="18" t="str">
        <x:v>%</x:v>
      </x:c>
      <x:c r="E13" s="18" t="str">
        <x:v>Annual</x:v>
      </x:c>
      <x:c r="F13" s="18" t="str">
        <x:v>Formula</x:v>
      </x:c>
      <x:c r="G13" s="18" t="str">
        <x:v>I_t/I_t-1-1</x:v>
      </x:c>
      <x:c r="H13" s="18" t="str">
        <x:v>Derived</x:v>
      </x:c>
      <x:c r="I13" s="18" t="str">
        <x:v>03_Clean_NISA J8:J17</x:v>
      </x:c>
      <x:c r="J13" s="18" t="str">
        <x:v>H1</x:v>
      </x:c>
      <x:c r="K13" s="18" t="str">
        <x:v>Limit change partly mechanical.</x:v>
      </x:c>
      <x:c r="L13" s="18" t="str">
        <x:v>Black</x:v>
      </x:c>
    </x:row>
    <x:row r="14" ht="15" hidden="0" customHeight="1">
      <x:c r="A14" s="18" t="str">
        <x:v>PURCHASE_PER_ACCOUNT</x:v>
      </x:c>
      <x:c r="B14" s="18" t="str">
        <x:v>Purchases per YE securities account</x:v>
      </x:c>
      <x:c r="C14" s="18" t="str">
        <x:v>Annual purchases / YE securities accounts.</x:v>
      </x:c>
      <x:c r="D14" s="18" t="str">
        <x:v>¥/account</x:v>
      </x:c>
      <x:c r="E14" s="18" t="str">
        <x:v>Annual</x:v>
      </x:c>
      <x:c r="F14" s="18" t="str">
        <x:v>Formula</x:v>
      </x:c>
      <x:c r="G14" s="18" t="str">
        <x:v>¥tn*1,000,000 / m accounts</x:v>
      </x:c>
      <x:c r="H14" s="18" t="str">
        <x:v>Derived</x:v>
      </x:c>
      <x:c r="I14" s="18" t="str">
        <x:v>03_Clean_NISA K7:K17</x:v>
      </x:c>
      <x:c r="J14" s="18" t="str">
        <x:v>Intensity proxy</x:v>
      </x:c>
      <x:c r="K14" s="18" t="str">
        <x:v>Includes inactive accounts.</x:v>
      </x:c>
      <x:c r="L14" s="18" t="str">
        <x:v>Black</x:v>
      </x:c>
    </x:row>
    <x:row r="15" ht="15" hidden="0" customHeight="1">
      <x:c r="A15" s="18" t="str">
        <x:v>PRE24_ACCT_GROWTH_ALL</x:v>
      </x:c>
      <x:c r="B15" s="18" t="str">
        <x:v>Pre-2024 avg national account growth</x:v>
      </x:c>
      <x:c r="C15" s="18" t="str">
        <x:v>Average YoY 2020-2023.</x:v>
      </x:c>
      <x:c r="D15" s="18" t="str">
        <x:v>%</x:v>
      </x:c>
      <x:c r="E15" s="18" t="str">
        <x:v>2020-2023</x:v>
      </x:c>
      <x:c r="F15" s="18" t="str">
        <x:v>Formula</x:v>
      </x:c>
      <x:c r="G15" s="18" t="str">
        <x:v>AVERAGE(C12:C15)</x:v>
      </x:c>
      <x:c r="H15" s="18" t="str">
        <x:v>Derived</x:v>
      </x:c>
      <x:c r="I15" s="18" t="str">
        <x:v>03_Clean_NISA C22</x:v>
      </x:c>
      <x:c r="J15" s="18" t="str">
        <x:v>Benchmark</x:v>
      </x:c>
      <x:c r="K15" s="18" t="str">
        <x:v>Not counterfactual.</x:v>
      </x:c>
      <x:c r="L15" s="18" t="str">
        <x:v>Black</x:v>
      </x:c>
    </x:row>
    <x:row r="16" ht="15" hidden="0" customHeight="1">
      <x:c r="A16" s="18" t="str">
        <x:v>ACCT_ACCEL_ALL</x:v>
      </x:c>
      <x:c r="B16" s="18" t="str">
        <x:v>National account acceleration</x:v>
      </x:c>
      <x:c r="C16" s="18" t="str">
        <x:v>2024 growth - pre average.</x:v>
      </x:c>
      <x:c r="D16" s="18" t="str">
        <x:v>pp</x:v>
      </x:c>
      <x:c r="E16" s="18" t="str">
        <x:v>2024</x:v>
      </x:c>
      <x:c r="F16" s="18" t="str">
        <x:v>Formula</x:v>
      </x:c>
      <x:c r="G16" s="18" t="str">
        <x:v>C23-C22</x:v>
      </x:c>
      <x:c r="H16" s="18" t="str">
        <x:v>Derived</x:v>
      </x:c>
      <x:c r="I16" s="18" t="str">
        <x:v>03_Clean_NISA C24</x:v>
      </x:c>
      <x:c r="J16" s="18" t="str">
        <x:v>H1 magnitude</x:v>
      </x:c>
      <x:c r="K16" s="18" t="str">
        <x:v>Association.</x:v>
      </x:c>
      <x:c r="L16" s="18" t="str">
        <x:v>Black</x:v>
      </x:c>
    </x:row>
    <x:row r="17" ht="15" hidden="0" customHeight="1">
      <x:c r="A17" s="18" t="str">
        <x:v>PRE24_ACCT_GROWTH_SEC</x:v>
      </x:c>
      <x:c r="B17" s="18" t="str">
        <x:v>Pre-2024 avg securities growth</x:v>
      </x:c>
      <x:c r="C17" s="18" t="str">
        <x:v>Average YoY 2020-2023.</x:v>
      </x:c>
      <x:c r="D17" s="18" t="str">
        <x:v>%</x:v>
      </x:c>
      <x:c r="E17" s="18" t="str">
        <x:v>2020-2023</x:v>
      </x:c>
      <x:c r="F17" s="18" t="str">
        <x:v>Formula</x:v>
      </x:c>
      <x:c r="G17" s="18" t="str">
        <x:v>AVERAGE(F12:F15)</x:v>
      </x:c>
      <x:c r="H17" s="18" t="str">
        <x:v>Derived</x:v>
      </x:c>
      <x:c r="I17" s="18" t="str">
        <x:v>03_Clean_NISA C25</x:v>
      </x:c>
      <x:c r="J17" s="18" t="str">
        <x:v>Benchmark</x:v>
      </x:c>
      <x:c r="K17" s="18" t="str">
        <x:v>Descriptive.</x:v>
      </x:c>
      <x:c r="L17" s="18" t="str">
        <x:v>Black</x:v>
      </x:c>
    </x:row>
    <x:row r="18" ht="15" hidden="0" customHeight="1">
      <x:c r="A18" s="18" t="str">
        <x:v>ACCT_ACCEL_SEC</x:v>
      </x:c>
      <x:c r="B18" s="18" t="str">
        <x:v>Securities account acceleration</x:v>
      </x:c>
      <x:c r="C18" s="18" t="str">
        <x:v>2024 growth - pre average.</x:v>
      </x:c>
      <x:c r="D18" s="18" t="str">
        <x:v>pp</x:v>
      </x:c>
      <x:c r="E18" s="18" t="str">
        <x:v>2024</x:v>
      </x:c>
      <x:c r="F18" s="18" t="str">
        <x:v>Formula</x:v>
      </x:c>
      <x:c r="G18" s="18" t="str">
        <x:v>C26-C25</x:v>
      </x:c>
      <x:c r="H18" s="18" t="str">
        <x:v>Derived</x:v>
      </x:c>
      <x:c r="I18" s="18" t="str">
        <x:v>03_Clean_NISA C27</x:v>
      </x:c>
      <x:c r="J18" s="18" t="str">
        <x:v>H1 magnitude</x:v>
      </x:c>
      <x:c r="K18" s="18" t="str">
        <x:v>Association.</x:v>
      </x:c>
      <x:c r="L18" s="18" t="str">
        <x:v>Black</x:v>
      </x:c>
    </x:row>
    <x:row r="19" ht="15" hidden="0" customHeight="1">
      <x:c r="A19" s="18" t="str">
        <x:v>PRE24_SEC_PURCHASE</x:v>
      </x:c>
      <x:c r="B19" s="18" t="str">
        <x:v>Pre-2024 avg securities purchases</x:v>
      </x:c>
      <x:c r="C19" s="18" t="str">
        <x:v>Average annual purchases 2019-2023.</x:v>
      </x:c>
      <x:c r="D19" s="18" t="str">
        <x:v>¥tn</x:v>
      </x:c>
      <x:c r="E19" s="18" t="str">
        <x:v>2019-2023</x:v>
      </x:c>
      <x:c r="F19" s="18" t="str">
        <x:v>Formula</x:v>
      </x:c>
      <x:c r="G19" s="18" t="str">
        <x:v>AVERAGE(I11:I15)</x:v>
      </x:c>
      <x:c r="H19" s="18" t="str">
        <x:v>Derived</x:v>
      </x:c>
      <x:c r="I19" s="18" t="str">
        <x:v>03_Clean_NISA C28</x:v>
      </x:c>
      <x:c r="J19" s="18" t="str">
        <x:v>Benchmark</x:v>
      </x:c>
      <x:c r="K19" s="18" t="str">
        <x:v>Old limits lower.</x:v>
      </x:c>
      <x:c r="L19" s="18" t="str">
        <x:v>Black</x:v>
      </x:c>
    </x:row>
    <x:row r="20" ht="15" hidden="0" customHeight="1">
      <x:c r="A20" s="18" t="str">
        <x:v>PURCHASE_MULTIPLE_PRE</x:v>
      </x:c>
      <x:c r="B20" s="18" t="str">
        <x:v>2024 purchase multiple vs pre avg</x:v>
      </x:c>
      <x:c r="C20" s="18" t="str">
        <x:v>2024 annual flow / 2019-23 average.</x:v>
      </x:c>
      <x:c r="D20" s="18" t="str">
        <x:v>x</x:v>
      </x:c>
      <x:c r="E20" s="18" t="str">
        <x:v>2024</x:v>
      </x:c>
      <x:c r="F20" s="18" t="str">
        <x:v>Formula</x:v>
      </x:c>
      <x:c r="G20" s="18" t="str">
        <x:v>C29/C28</x:v>
      </x:c>
      <x:c r="H20" s="18" t="str">
        <x:v>Derived</x:v>
      </x:c>
      <x:c r="I20" s="18" t="str">
        <x:v>03_Clean_NISA C30</x:v>
      </x:c>
      <x:c r="J20" s="18" t="str">
        <x:v>H1 magnitude</x:v>
      </x:c>
      <x:c r="K20" s="18" t="str">
        <x:v>Descriptive.</x:v>
      </x:c>
      <x:c r="L20" s="18" t="str">
        <x:v>Black</x:v>
      </x:c>
    </x:row>
    <x:row r="21" ht="15" hidden="0" customHeight="1">
      <x:c r="A21" s="18" t="str">
        <x:v>NEWNISA_GROWTH_PURCHASE</x:v>
      </x:c>
      <x:c r="B21" s="18" t="str">
        <x:v>Growth-quota purchases</x:v>
      </x:c>
      <x:c r="C21" s="18" t="str">
        <x:v>Annual growth-investment quota purchases.</x:v>
      </x:c>
      <x:c r="D21" s="18" t="str">
        <x:v>¥tn</x:v>
      </x:c>
      <x:c r="E21" s="18" t="str">
        <x:v>Annual</x:v>
      </x:c>
      <x:c r="F21" s="18" t="str">
        <x:v>Raw</x:v>
      </x:c>
      <x:c r="G21" s="18" t="str">
        <x:v>None</x:v>
      </x:c>
      <x:c r="H21" s="18" t="str">
        <x:v>S03</x:v>
      </x:c>
      <x:c r="I21" s="18" t="str">
        <x:v>02_Raw_NISA C22:C25</x:v>
      </x:c>
      <x:c r="J21" s="18" t="str">
        <x:v>Product mix</x:v>
      </x:c>
      <x:c r="K21" s="18" t="str">
        <x:v>Post-2024 only.</x:v>
      </x:c>
      <x:c r="L21" s="18" t="str">
        <x:v>Blue</x:v>
      </x:c>
    </x:row>
    <x:row r="22" ht="15" hidden="0" customHeight="1">
      <x:c r="A22" s="18" t="str">
        <x:v>NEWNISA_ACCUM_PURCHASE</x:v>
      </x:c>
      <x:c r="B22" s="18" t="str">
        <x:v>Accumulation-quota purchases</x:v>
      </x:c>
      <x:c r="C22" s="18" t="str">
        <x:v>Annual accumulation quota purchases.</x:v>
      </x:c>
      <x:c r="D22" s="18" t="str">
        <x:v>¥tn</x:v>
      </x:c>
      <x:c r="E22" s="18" t="str">
        <x:v>Annual</x:v>
      </x:c>
      <x:c r="F22" s="18" t="str">
        <x:v>Raw</x:v>
      </x:c>
      <x:c r="G22" s="18" t="str">
        <x:v>None</x:v>
      </x:c>
      <x:c r="H22" s="18" t="str">
        <x:v>S03</x:v>
      </x:c>
      <x:c r="I22" s="18" t="str">
        <x:v>02_Raw_NISA D22:D25</x:v>
      </x:c>
      <x:c r="J22" s="18" t="str">
        <x:v>Recurring investment</x:v>
      </x:c>
      <x:c r="K22" s="18" t="str">
        <x:v>Post-2024 only.</x:v>
      </x:c>
      <x:c r="L22" s="18" t="str">
        <x:v>Blue</x:v>
      </x:c>
    </x:row>
    <x:row r="23" ht="15" hidden="0" customHeight="1">
      <x:c r="A23" s="18" t="str">
        <x:v>ACCUM_SHARE</x:v>
      </x:c>
      <x:c r="B23" s="18" t="str">
        <x:v>Accumulation quota share</x:v>
      </x:c>
      <x:c r="C23" s="18" t="str">
        <x:v>Accumulation purchases / total.</x:v>
      </x:c>
      <x:c r="D23" s="18" t="str">
        <x:v>%</x:v>
      </x:c>
      <x:c r="E23" s="18" t="str">
        <x:v>Annual</x:v>
      </x:c>
      <x:c r="F23" s="18" t="str">
        <x:v>Formula</x:v>
      </x:c>
      <x:c r="G23" s="18" t="str">
        <x:v>D/E</x:v>
      </x:c>
      <x:c r="H23" s="18" t="str">
        <x:v>Derived</x:v>
      </x:c>
      <x:c r="I23" s="18" t="str">
        <x:v>05_Product_Mix G6:G9</x:v>
      </x:c>
      <x:c r="J23" s="18" t="str">
        <x:v>Recurring-investment opportunity</x:v>
      </x:c>
      <x:c r="K23" s="18" t="str">
        <x:v>Flow share.</x:v>
      </x:c>
      <x:c r="L23" s="18" t="str">
        <x:v>Black</x:v>
      </x:c>
    </x:row>
    <x:row r="24" ht="15" hidden="0" customHeight="1">
      <x:c r="A24" s="18" t="str">
        <x:v>AGE_ACCTS_2023</x:v>
      </x:c>
      <x:c r="B24" s="18" t="str">
        <x:v>Age accounts 2023</x:v>
      </x:c>
      <x:c r="C24" s="18" t="str">
        <x:v>Pre-reform accounts by cohort.</x:v>
      </x:c>
      <x:c r="D24" s="18" t="str">
        <x:v>m accounts</x:v>
      </x:c>
      <x:c r="E24" s="18" t="str">
        <x:v>2023 YE</x:v>
      </x:c>
      <x:c r="F24" s="18" t="str">
        <x:v>Raw</x:v>
      </x:c>
      <x:c r="G24" s="18" t="str">
        <x:v>None</x:v>
      </x:c>
      <x:c r="H24" s="18" t="str">
        <x:v>S05;S07</x:v>
      </x:c>
      <x:c r="I24" s="18" t="str">
        <x:v>02_Raw_NISA B30:B36</x:v>
      </x:c>
      <x:c r="J24" s="18" t="str">
        <x:v>H2 baseline</x:v>
      </x:c>
      <x:c r="K24" s="18" t="str">
        <x:v>&lt;=20s merged.</x:v>
      </x:c>
      <x:c r="L24" s="18" t="str">
        <x:v>Blue</x:v>
      </x:c>
    </x:row>
    <x:row r="25" ht="15" hidden="0" customHeight="1">
      <x:c r="A25" s="18" t="str">
        <x:v>AGE_ACCTS_2024</x:v>
      </x:c>
      <x:c r="B25" s="18" t="str">
        <x:v>Age accounts 2024</x:v>
      </x:c>
      <x:c r="C25" s="18" t="str">
        <x:v>First post-reform accounts by cohort.</x:v>
      </x:c>
      <x:c r="D25" s="18" t="str">
        <x:v>m accounts</x:v>
      </x:c>
      <x:c r="E25" s="18" t="str">
        <x:v>2024 YE</x:v>
      </x:c>
      <x:c r="F25" s="18" t="str">
        <x:v>Raw</x:v>
      </x:c>
      <x:c r="G25" s="18" t="str">
        <x:v>None</x:v>
      </x:c>
      <x:c r="H25" s="18" t="str">
        <x:v>S04;S05</x:v>
      </x:c>
      <x:c r="I25" s="18" t="str">
        <x:v>02_Raw_NISA C30:C36</x:v>
      </x:c>
      <x:c r="J25" s="18" t="str">
        <x:v>H2</x:v>
      </x:c>
      <x:c r="K25" s="18" t="str">
        <x:v>&lt;=20s merged.</x:v>
      </x:c>
      <x:c r="L25" s="18" t="str">
        <x:v>Blue</x:v>
      </x:c>
    </x:row>
    <x:row r="26" ht="15" hidden="0" customHeight="1">
      <x:c r="A26" s="18" t="str">
        <x:v>AGE_ACCTS_2025</x:v>
      </x:c>
      <x:c r="B26" s="18" t="str">
        <x:v>Age accounts 2025</x:v>
      </x:c>
      <x:c r="C26" s="18" t="str">
        <x:v>Final year-end accounts by cohort.</x:v>
      </x:c>
      <x:c r="D26" s="18" t="str">
        <x:v>m accounts</x:v>
      </x:c>
      <x:c r="E26" s="18" t="str">
        <x:v>2025 YE</x:v>
      </x:c>
      <x:c r="F26" s="18" t="str">
        <x:v>Raw</x:v>
      </x:c>
      <x:c r="G26" s="18" t="str">
        <x:v>None</x:v>
      </x:c>
      <x:c r="H26" s="18" t="str">
        <x:v>S03;S04</x:v>
      </x:c>
      <x:c r="I26" s="18" t="str">
        <x:v>02_Raw_NISA D30:D36</x:v>
      </x:c>
      <x:c r="J26" s="18" t="str">
        <x:v>H2 persistence</x:v>
      </x:c>
      <x:c r="K26" s="18" t="str">
        <x:v>Rounded.</x:v>
      </x:c>
      <x:c r="L26" s="18" t="str">
        <x:v>Blue</x:v>
      </x:c>
    </x:row>
    <x:row r="27" ht="15" hidden="0" customHeight="1">
      <x:c r="A27" s="18" t="str">
        <x:v>AGE_GROWTH_24</x:v>
      </x:c>
      <x:c r="B27" s="18" t="str">
        <x:v>Age account growth 2024</x:v>
      </x:c>
      <x:c r="C27" s="18" t="str">
        <x:v>2024/2023 - 1.</x:v>
      </x:c>
      <x:c r="D27" s="18" t="str">
        <x:v>%</x:v>
      </x:c>
      <x:c r="E27" s="18" t="str">
        <x:v>2024</x:v>
      </x:c>
      <x:c r="F27" s="18" t="str">
        <x:v>Formula</x:v>
      </x:c>
      <x:c r="G27" s="18" t="str">
        <x:v>C/B-1</x:v>
      </x:c>
      <x:c r="H27" s="18" t="str">
        <x:v>Derived</x:v>
      </x:c>
      <x:c r="I27" s="18" t="str">
        <x:v>04_Age_Data D6:D12</x:v>
      </x:c>
      <x:c r="J27" s="18" t="str">
        <x:v>H2</x:v>
      </x:c>
      <x:c r="K27" s="18" t="str">
        <x:v>Rounded.</x:v>
      </x:c>
      <x:c r="L27" s="18" t="str">
        <x:v>Black</x:v>
      </x:c>
    </x:row>
    <x:row r="28" ht="15" hidden="0" customHeight="1">
      <x:c r="A28" s="18" t="str">
        <x:v>AGE_GROWTH_25</x:v>
      </x:c>
      <x:c r="B28" s="18" t="str">
        <x:v>Age account growth 2025</x:v>
      </x:c>
      <x:c r="C28" s="18" t="str">
        <x:v>2025/2024 - 1.</x:v>
      </x:c>
      <x:c r="D28" s="18" t="str">
        <x:v>%</x:v>
      </x:c>
      <x:c r="E28" s="18" t="str">
        <x:v>2025</x:v>
      </x:c>
      <x:c r="F28" s="18" t="str">
        <x:v>Formula</x:v>
      </x:c>
      <x:c r="G28" s="18" t="str">
        <x:v>E/C-1</x:v>
      </x:c>
      <x:c r="H28" s="18" t="str">
        <x:v>Derived</x:v>
      </x:c>
      <x:c r="I28" s="18" t="str">
        <x:v>04_Age_Data F6:F12</x:v>
      </x:c>
      <x:c r="J28" s="18" t="str">
        <x:v>H2 persistence</x:v>
      </x:c>
      <x:c r="K28" s="18" t="str">
        <x:v>Rounded.</x:v>
      </x:c>
      <x:c r="L28" s="18" t="str">
        <x:v>Black</x:v>
      </x:c>
    </x:row>
    <x:row r="29" ht="15" hidden="0" customHeight="1">
      <x:c r="A29" s="18" t="str">
        <x:v>AGE_PEN_2024</x:v>
      </x:c>
      <x:c r="B29" s="18" t="str">
        <x:v>Direct age penetration 2024</x:v>
      </x:c>
      <x:c r="C29" s="18" t="str">
        <x:v>Published NISA penetration by age.</x:v>
      </x:c>
      <x:c r="D29" s="18" t="str">
        <x:v>%</x:v>
      </x:c>
      <x:c r="E29" s="18" t="str">
        <x:v>2024</x:v>
      </x:c>
      <x:c r="F29" s="18" t="str">
        <x:v>Raw</x:v>
      </x:c>
      <x:c r="G29" s="18" t="str">
        <x:v>Direct source rate</x:v>
      </x:c>
      <x:c r="H29" s="18" t="str">
        <x:v>S04</x:v>
      </x:c>
      <x:c r="I29" s="18" t="str">
        <x:v>02_Raw_NISA B41:B48</x:v>
      </x:c>
      <x:c r="J29" s="18" t="str">
        <x:v>Population-adjusted H2</x:v>
      </x:c>
      <x:c r="K29" s="18" t="str">
        <x:v>2024-10 population base for both published rates.</x:v>
      </x:c>
      <x:c r="L29" s="18" t="str">
        <x:v>Blue</x:v>
      </x:c>
    </x:row>
    <x:row r="30" ht="15" hidden="0" customHeight="1">
      <x:c r="A30" s="18" t="str">
        <x:v>AGE_PEN_2025</x:v>
      </x:c>
      <x:c r="B30" s="18" t="str">
        <x:v>Direct age penetration 2025</x:v>
      </x:c>
      <x:c r="C30" s="18" t="str">
        <x:v>Published NISA penetration by age.</x:v>
      </x:c>
      <x:c r="D30" s="18" t="str">
        <x:v>%</x:v>
      </x:c>
      <x:c r="E30" s="18" t="str">
        <x:v>2025</x:v>
      </x:c>
      <x:c r="F30" s="18" t="str">
        <x:v>Raw</x:v>
      </x:c>
      <x:c r="G30" s="18" t="str">
        <x:v>Direct source rate</x:v>
      </x:c>
      <x:c r="H30" s="18" t="str">
        <x:v>S04</x:v>
      </x:c>
      <x:c r="I30" s="18" t="str">
        <x:v>02_Raw_NISA C41:C48</x:v>
      </x:c>
      <x:c r="J30" s="18" t="str">
        <x:v>Population-adjusted H2</x:v>
      </x:c>
      <x:c r="K30" s="18" t="str">
        <x:v>2024-10 population base.</x:v>
      </x:c>
      <x:c r="L30" s="18" t="str">
        <x:v>Blue</x:v>
      </x:c>
    </x:row>
    <x:row r="31" ht="15" hidden="0" customHeight="1">
      <x:c r="A31" s="18" t="str">
        <x:v>AGE_PEN_CHANGE_25</x:v>
      </x:c>
      <x:c r="B31" s="18" t="str">
        <x:v>Age penetration change</x:v>
      </x:c>
      <x:c r="C31" s="18" t="str">
        <x:v>2025 direct rate - 2024 direct rate.</x:v>
      </x:c>
      <x:c r="D31" s="18" t="str">
        <x:v>pp</x:v>
      </x:c>
      <x:c r="E31" s="18" t="str">
        <x:v>2024-25</x:v>
      </x:c>
      <x:c r="F31" s="18" t="str">
        <x:v>Formula</x:v>
      </x:c>
      <x:c r="G31" s="18" t="str">
        <x:v>C-B</x:v>
      </x:c>
      <x:c r="H31" s="18" t="str">
        <x:v>Derived</x:v>
      </x:c>
      <x:c r="I31" s="18" t="str">
        <x:v>04_Age_Data D18:D25</x:v>
      </x:c>
      <x:c r="J31" s="18" t="str">
        <x:v>H2 persistence</x:v>
      </x:c>
      <x:c r="K31" s="18" t="str">
        <x:v>Population vintages differ.</x:v>
      </x:c>
      <x:c r="L31" s="18" t="str">
        <x:v>Black</x:v>
      </x:c>
    </x:row>
    <x:row r="32" ht="15" hidden="0" customHeight="1">
      <x:c r="A32" s="18" t="str">
        <x:v>AGE_GROWTH_PURCHASE</x:v>
      </x:c>
      <x:c r="B32" s="18" t="str">
        <x:v>Age growth-quota purchases</x:v>
      </x:c>
      <x:c r="C32" s="18" t="str">
        <x:v>2024 growth-quota purchases by cohort.</x:v>
      </x:c>
      <x:c r="D32" s="18" t="str">
        <x:v>¥bn</x:v>
      </x:c>
      <x:c r="E32" s="18" t="str">
        <x:v>2024</x:v>
      </x:c>
      <x:c r="F32" s="18" t="str">
        <x:v>Raw</x:v>
      </x:c>
      <x:c r="G32" s="18" t="str">
        <x:v>Converted to ¥bn</x:v>
      </x:c>
      <x:c r="H32" s="18" t="str">
        <x:v>S34</x:v>
      </x:c>
      <x:c r="I32" s="18" t="str">
        <x:v>02_Raw_NISA B53:B59</x:v>
      </x:c>
      <x:c r="J32" s="18" t="str">
        <x:v>Age behavior</x:v>
      </x:c>
      <x:c r="K32" s="18" t="str">
        <x:v>Rounded components.</x:v>
      </x:c>
      <x:c r="L32" s="18" t="str">
        <x:v>Blue</x:v>
      </x:c>
    </x:row>
    <x:row r="33" ht="15" hidden="0" customHeight="1">
      <x:c r="A33" s="18" t="str">
        <x:v>AGE_ACCUM_PURCHASE</x:v>
      </x:c>
      <x:c r="B33" s="18" t="str">
        <x:v>Age accumulation purchases</x:v>
      </x:c>
      <x:c r="C33" s="18" t="str">
        <x:v>2024 accumulation purchases by cohort.</x:v>
      </x:c>
      <x:c r="D33" s="18" t="str">
        <x:v>¥bn</x:v>
      </x:c>
      <x:c r="E33" s="18" t="str">
        <x:v>2024</x:v>
      </x:c>
      <x:c r="F33" s="18" t="str">
        <x:v>Raw</x:v>
      </x:c>
      <x:c r="G33" s="18" t="str">
        <x:v>Converted to ¥bn</x:v>
      </x:c>
      <x:c r="H33" s="18" t="str">
        <x:v>S34</x:v>
      </x:c>
      <x:c r="I33" s="18" t="str">
        <x:v>02_Raw_NISA C53:C59</x:v>
      </x:c>
      <x:c r="J33" s="18" t="str">
        <x:v>Age behavior</x:v>
      </x:c>
      <x:c r="K33" s="18" t="str">
        <x:v>Rounded components.</x:v>
      </x:c>
      <x:c r="L33" s="18" t="str">
        <x:v>Blue</x:v>
      </x:c>
    </x:row>
    <x:row r="34" ht="15" hidden="0" customHeight="1">
      <x:c r="A34" s="18" t="str">
        <x:v>AGE_ACCUM_SHARE</x:v>
      </x:c>
      <x:c r="B34" s="18" t="str">
        <x:v>Age accumulation share</x:v>
      </x:c>
      <x:c r="C34" s="18" t="str">
        <x:v>Accumulation / total component purchases.</x:v>
      </x:c>
      <x:c r="D34" s="18" t="str">
        <x:v>%</x:v>
      </x:c>
      <x:c r="E34" s="18" t="str">
        <x:v>2024</x:v>
      </x:c>
      <x:c r="F34" s="18" t="str">
        <x:v>Formula</x:v>
      </x:c>
      <x:c r="G34" s="18" t="str">
        <x:v>C/(B+C)</x:v>
      </x:c>
      <x:c r="H34" s="18" t="str">
        <x:v>S34</x:v>
      </x:c>
      <x:c r="I34" s="18" t="str">
        <x:v>04_Age_Data E31:E37</x:v>
      </x:c>
      <x:c r="J34" s="18" t="str">
        <x:v>Recurring behavior</x:v>
      </x:c>
      <x:c r="K34" s="18" t="str">
        <x:v>Rounded components.</x:v>
      </x:c>
      <x:c r="L34" s="18" t="str">
        <x:v>Black</x:v>
      </x:c>
    </x:row>
    <x:row r="35" ht="15" hidden="0" customHeight="1">
      <x:c r="A35" s="18" t="str">
        <x:v>AGE_POP_2023</x:v>
      </x:c>
      <x:c r="B35" s="18" t="str">
        <x:v>Age population 2023</x:v>
      </x:c>
      <x:c r="C35" s="18" t="str">
        <x:v>Japan 30s+ population by decade band.</x:v>
      </x:c>
      <x:c r="D35" s="18" t="str">
        <x:v>m persons</x:v>
      </x:c>
      <x:c r="E35" s="18" t="str">
        <x:v>2023</x:v>
      </x:c>
      <x:c r="F35" s="18" t="str">
        <x:v>Raw</x:v>
      </x:c>
      <x:c r="G35" s="18" t="str">
        <x:v>Single ages aggregated</x:v>
      </x:c>
      <x:c r="H35" s="18" t="str">
        <x:v>S08</x:v>
      </x:c>
      <x:c r="I35" s="18" t="str">
        <x:v>02_Raw_NISA B64:B69</x:v>
      </x:c>
      <x:c r="J35" s="18" t="str">
        <x:v>Supporting penetration</x:v>
      </x:c>
      <x:c r="K35" s="18" t="str">
        <x:v>Not headline direct-rate analysis.</x:v>
      </x:c>
      <x:c r="L35" s="18" t="str">
        <x:v>Blue</x:v>
      </x:c>
    </x:row>
    <x:row r="36" ht="15" hidden="0" customHeight="1">
      <x:c r="A36" s="18" t="str">
        <x:v>AGE_PEN_2023_CALC</x:v>
      </x:c>
      <x:c r="B36" s="18" t="str">
        <x:v>Calculated 2023 penetration</x:v>
      </x:c>
      <x:c r="C36" s="18" t="str">
        <x:v>2023 accounts / 2023 population.</x:v>
      </x:c>
      <x:c r="D36" s="18" t="str">
        <x:v>%</x:v>
      </x:c>
      <x:c r="E36" s="18" t="str">
        <x:v>2023</x:v>
      </x:c>
      <x:c r="F36" s="18" t="str">
        <x:v>Formula</x:v>
      </x:c>
      <x:c r="G36" s="18" t="str">
        <x:v>B/C</x:v>
      </x:c>
      <x:c r="H36" s="18" t="str">
        <x:v>Derived</x:v>
      </x:c>
      <x:c r="I36" s="18" t="str">
        <x:v>04_Age_Data D43:D48</x:v>
      </x:c>
      <x:c r="J36" s="18" t="str">
        <x:v>Supporting context</x:v>
      </x:c>
      <x:c r="K36" s="18" t="str">
        <x:v>Timing/rounding.</x:v>
      </x:c>
      <x:c r="L36" s="18" t="str">
        <x:v>Black</x:v>
      </x:c>
    </x:row>
    <x:row r="37" ht="15" hidden="0" customHeight="1">
      <x:c r="A37" s="18" t="str">
        <x:v>PRODUCT_STOCK_SHARE</x:v>
      </x:c>
      <x:c r="B37" s="18" t="str">
        <x:v>2025 purchase share - stocks</x:v>
      </x:c>
      <x:c r="C37" s="18" t="str">
        <x:v>Stocks as share of New NISA purchases.</x:v>
      </x:c>
      <x:c r="D37" s="18" t="str">
        <x:v>%</x:v>
      </x:c>
      <x:c r="E37" s="18" t="str">
        <x:v>2025</x:v>
      </x:c>
      <x:c r="F37" s="18" t="str">
        <x:v>Raw</x:v>
      </x:c>
      <x:c r="G37" s="18" t="str">
        <x:v>Direct</x:v>
      </x:c>
      <x:c r="H37" s="18" t="str">
        <x:v>S03</x:v>
      </x:c>
      <x:c r="I37" s="18" t="str">
        <x:v>05_Product_Mix B15</x:v>
      </x:c>
      <x:c r="J37" s="18" t="str">
        <x:v>Product mix</x:v>
      </x:c>
      <x:c r="K37" s="18" t="str">
        <x:v>Defined category.</x:v>
      </x:c>
      <x:c r="L37" s="18" t="str">
        <x:v>Blue</x:v>
      </x:c>
    </x:row>
    <x:row r="38" ht="15" hidden="0" customHeight="1">
      <x:c r="A38" s="18" t="str">
        <x:v>PRODUCT_FUND_SHARE</x:v>
      </x:c>
      <x:c r="B38" s="18" t="str">
        <x:v>2025 purchase share - funds</x:v>
      </x:c>
      <x:c r="C38" s="18" t="str">
        <x:v>Funds as share of New NISA purchases.</x:v>
      </x:c>
      <x:c r="D38" s="18" t="str">
        <x:v>%</x:v>
      </x:c>
      <x:c r="E38" s="18" t="str">
        <x:v>2025</x:v>
      </x:c>
      <x:c r="F38" s="18" t="str">
        <x:v>Raw</x:v>
      </x:c>
      <x:c r="G38" s="18" t="str">
        <x:v>Direct</x:v>
      </x:c>
      <x:c r="H38" s="18" t="str">
        <x:v>S03</x:v>
      </x:c>
      <x:c r="I38" s="18" t="str">
        <x:v>05_Product_Mix B16</x:v>
      </x:c>
      <x:c r="J38" s="18" t="str">
        <x:v>Product mix</x:v>
      </x:c>
      <x:c r="K38" s="18" t="str">
        <x:v>Rounded.</x:v>
      </x:c>
      <x:c r="L38" s="18" t="str">
        <x:v>Blue</x:v>
      </x:c>
    </x:row>
    <x:row r="39" ht="26.399999618530273" hidden="0" customHeight="1">
      <x:c r="A39" s="18" t="str">
        <x:v>ACCUM_INDEX_SHARE</x:v>
      </x:c>
      <x:c r="B39" s="18" t="str">
        <x:v>Index share of accumulation purchases</x:v>
      </x:c>
      <x:c r="C39" s="18" t="str">
        <x:v>Index funds / accumulation purchase amount.</x:v>
      </x:c>
      <x:c r="D39" s="18" t="str">
        <x:v>%</x:v>
      </x:c>
      <x:c r="E39" s="18" t="str">
        <x:v>2025</x:v>
      </x:c>
      <x:c r="F39" s="18" t="str">
        <x:v>Raw</x:v>
      </x:c>
      <x:c r="G39" s="18" t="str">
        <x:v>Direct</x:v>
      </x:c>
      <x:c r="H39" s="18" t="str">
        <x:v>S04</x:v>
      </x:c>
      <x:c r="I39" s="18" t="str">
        <x:v>05_Product_Mix B21</x:v>
      </x:c>
      <x:c r="J39" s="18" t="str">
        <x:v>Low-cost recurring channel</x:v>
      </x:c>
      <x:c r="K39" s="18" t="str">
        <x:v>2024 88.1%.</x:v>
      </x:c>
      <x:c r="L39" s="18" t="str">
        <x:v>Blue</x:v>
      </x:c>
    </x:row>
    <x:row r="40" ht="15" hidden="0" customHeight="1">
      <x:c r="A40" s="18" t="str">
        <x:v>HH_TOTAL_ASSETS</x:v>
      </x:c>
      <x:c r="B40" s="18" t="str">
        <x:v>Household financial assets</x:v>
      </x:c>
      <x:c r="C40" s="18" t="str">
        <x:v>BOJ household total financial assets.</x:v>
      </x:c>
      <x:c r="D40" s="18" t="str">
        <x:v>¥tn</x:v>
      </x:c>
      <x:c r="E40" s="18" t="str">
        <x:v>Quarterly</x:v>
      </x:c>
      <x:c r="F40" s="18" t="str">
        <x:v>Raw</x:v>
      </x:c>
      <x:c r="G40" s="18" t="str">
        <x:v>¥100m to ¥tn</x:v>
      </x:c>
      <x:c r="H40" s="18" t="str">
        <x:v>S09</x:v>
      </x:c>
      <x:c r="I40" s="18" t="str">
        <x:v>06_HH_Assets B6:B18</x:v>
      </x:c>
      <x:c r="J40" s="18" t="str">
        <x:v>Household wealth</x:v>
      </x:c>
      <x:c r="K40" s="18" t="str">
        <x:v>Series revised over time.</x:v>
      </x:c>
      <x:c r="L40" s="18" t="str">
        <x:v>Blue</x:v>
      </x:c>
    </x:row>
    <x:row r="41" ht="15" hidden="0" customHeight="1">
      <x:c r="A41" s="18" t="str">
        <x:v>HH_CASH_SHARE</x:v>
      </x:c>
      <x:c r="B41" s="18" t="str">
        <x:v>Cash/deposit share</x:v>
      </x:c>
      <x:c r="C41" s="18" t="str">
        <x:v>Cash/deposits / household financial assets.</x:v>
      </x:c>
      <x:c r="D41" s="18" t="str">
        <x:v>%</x:v>
      </x:c>
      <x:c r="E41" s="18" t="str">
        <x:v>Snapshot</x:v>
      </x:c>
      <x:c r="F41" s="18" t="str">
        <x:v>Raw</x:v>
      </x:c>
      <x:c r="G41" s="18" t="str">
        <x:v>Direct</x:v>
      </x:c>
      <x:c r="H41" s="18" t="str">
        <x:v>S10-S12</x:v>
      </x:c>
      <x:c r="I41" s="18" t="str">
        <x:v>06_HH_Assets B23:B25</x:v>
      </x:c>
      <x:c r="J41" s="18" t="str">
        <x:v>Portfolio shift</x:v>
      </x:c>
      <x:c r="K41" s="18" t="str">
        <x:v>Stock measure.</x:v>
      </x:c>
      <x:c r="L41" s="18" t="str">
        <x:v>Blue</x:v>
      </x:c>
    </x:row>
    <x:row r="42" ht="15" hidden="0" customHeight="1">
      <x:c r="A42" s="18" t="str">
        <x:v>HH_FUND_SHARE</x:v>
      </x:c>
      <x:c r="B42" s="18" t="str">
        <x:v>Investment-trust share</x:v>
      </x:c>
      <x:c r="C42" s="18" t="str">
        <x:v>Investment trusts / total household assets.</x:v>
      </x:c>
      <x:c r="D42" s="18" t="str">
        <x:v>%</x:v>
      </x:c>
      <x:c r="E42" s="18" t="str">
        <x:v>Snapshot</x:v>
      </x:c>
      <x:c r="F42" s="18" t="str">
        <x:v>Raw</x:v>
      </x:c>
      <x:c r="G42" s="18" t="str">
        <x:v>Direct</x:v>
      </x:c>
      <x:c r="H42" s="18" t="str">
        <x:v>S10-S12</x:v>
      </x:c>
      <x:c r="I42" s="18" t="str">
        <x:v>06_HH_Assets D23:D25</x:v>
      </x:c>
      <x:c r="J42" s="18" t="str">
        <x:v>Portfolio shift</x:v>
      </x:c>
      <x:c r="K42" s="18" t="str">
        <x:v>Stock measure.</x:v>
      </x:c>
      <x:c r="L42" s="18" t="str">
        <x:v>Blue</x:v>
      </x:c>
    </x:row>
    <x:row r="43" ht="15" hidden="0" customHeight="1">
      <x:c r="A43" s="18" t="str">
        <x:v>HH_EQUITY_SHARE</x:v>
      </x:c>
      <x:c r="B43" s="18" t="str">
        <x:v>Equity share</x:v>
      </x:c>
      <x:c r="C43" s="18" t="str">
        <x:v>Equity / total household assets.</x:v>
      </x:c>
      <x:c r="D43" s="18" t="str">
        <x:v>%</x:v>
      </x:c>
      <x:c r="E43" s="18" t="str">
        <x:v>Snapshot</x:v>
      </x:c>
      <x:c r="F43" s="18" t="str">
        <x:v>Raw</x:v>
      </x:c>
      <x:c r="G43" s="18" t="str">
        <x:v>Direct</x:v>
      </x:c>
      <x:c r="H43" s="18" t="str">
        <x:v>S10-S12</x:v>
      </x:c>
      <x:c r="I43" s="18" t="str">
        <x:v>06_HH_Assets E23:E25</x:v>
      </x:c>
      <x:c r="J43" s="18" t="str">
        <x:v>Portfolio shift</x:v>
      </x:c>
      <x:c r="K43" s="18" t="str">
        <x:v>Stock measure.</x:v>
      </x:c>
      <x:c r="L43" s="18" t="str">
        <x:v>Blue</x:v>
      </x:c>
    </x:row>
    <x:row r="44" ht="15" hidden="0" customHeight="1">
      <x:c r="A44" s="18" t="str">
        <x:v>HH_EQFUND_SHARE</x:v>
      </x:c>
      <x:c r="B44" s="18" t="str">
        <x:v>Equity + funds</x:v>
      </x:c>
      <x:c r="C44" s="18" t="str">
        <x:v>Equity share + fund share.</x:v>
      </x:c>
      <x:c r="D44" s="18" t="str">
        <x:v>%</x:v>
      </x:c>
      <x:c r="E44" s="18" t="str">
        <x:v>Snapshot</x:v>
      </x:c>
      <x:c r="F44" s="18" t="str">
        <x:v>Formula</x:v>
      </x:c>
      <x:c r="G44" s="18" t="str">
        <x:v>D+E</x:v>
      </x:c>
      <x:c r="H44" s="18" t="str">
        <x:v>Derived</x:v>
      </x:c>
      <x:c r="I44" s="18" t="str">
        <x:v>06_HH_Assets G23:G25</x:v>
      </x:c>
      <x:c r="J44" s="18" t="str">
        <x:v>Simple risk-asset proxy</x:v>
      </x:c>
      <x:c r="K44" s="18" t="str">
        <x:v>Excludes other market assets.</x:v>
      </x:c>
      <x:c r="L44" s="18" t="str">
        <x:v>Black</x:v>
      </x:c>
    </x:row>
    <x:row r="45" ht="15" hidden="0" customHeight="1">
      <x:c r="A45" s="18" t="str">
        <x:v>HH_BROAD_MARKET_SHARE</x:v>
      </x:c>
      <x:c r="B45" s="18" t="str">
        <x:v>FSA broad market-linked share</x:v>
      </x:c>
      <x:c r="C45" s="18" t="str">
        <x:v>Stocks/funds/bonds/foreign/other equity share.</x:v>
      </x:c>
      <x:c r="D45" s="18" t="str">
        <x:v>%</x:v>
      </x:c>
      <x:c r="E45" s="18" t="str">
        <x:v>Annual</x:v>
      </x:c>
      <x:c r="F45" s="18" t="str">
        <x:v>Raw</x:v>
      </x:c>
      <x:c r="G45" s="18" t="str">
        <x:v>Direct</x:v>
      </x:c>
      <x:c r="H45" s="18" t="str">
        <x:v>S13</x:v>
      </x:c>
      <x:c r="I45" s="18" t="str">
        <x:v>06_HH_Assets B30:B32</x:v>
      </x:c>
      <x:c r="J45" s="18" t="str">
        <x:v>Portfolio shift</x:v>
      </x:c>
      <x:c r="K45" s="18" t="str">
        <x:v>Broader definition.</x:v>
      </x:c>
      <x:c r="L45" s="18" t="str">
        <x:v>Blue</x:v>
      </x:c>
    </x:row>
    <x:row r="46" ht="26.399999618530273" hidden="0" customHeight="1">
      <x:c r="A46" s="18" t="str">
        <x:v>SURVEY_DEPOSIT_INCOME</x:v>
      </x:c>
      <x:c r="B46" s="18" t="str">
        <x:v>Deposits/salary/pension funding response</x:v>
      </x:c>
      <x:c r="C46" s="18" t="str">
        <x:v>Survey users citing this funding source.</x:v>
      </x:c>
      <x:c r="D46" s="18" t="str">
        <x:v>% respondents</x:v>
      </x:c>
      <x:c r="E46" s="18" t="str">
        <x:v>Survey</x:v>
      </x:c>
      <x:c r="F46" s="18" t="str">
        <x:v>Raw</x:v>
      </x:c>
      <x:c r="G46" s="18" t="str">
        <x:v>Direct</x:v>
      </x:c>
      <x:c r="H46" s="18" t="str">
        <x:v>S32</x:v>
      </x:c>
      <x:c r="I46" s="18" t="str">
        <x:v>07_Survey_Context B6</x:v>
      </x:c>
      <x:c r="J46" s="18" t="str">
        <x:v>Funding behavior</x:v>
      </x:c>
      <x:c r="K46" s="18" t="str">
        <x:v>Multiple response; not yen flow.</x:v>
      </x:c>
      <x:c r="L46" s="18" t="str">
        <x:v>Blue</x:v>
      </x:c>
    </x:row>
    <x:row r="47" ht="15" hidden="0" customHeight="1">
      <x:c r="A47" s="18" t="str">
        <x:v>SURVEY_FIRST_INVEST</x:v>
      </x:c>
      <x:c r="B47" s="18" t="str">
        <x:v>No prior securities experience</x:v>
      </x:c>
      <x:c r="C47" s="18" t="str">
        <x:v>NISA openers with no prior securities-purchase experience.</x:v>
      </x:c>
      <x:c r="D47" s="18" t="str">
        <x:v>% respondents</x:v>
      </x:c>
      <x:c r="E47" s="18" t="str">
        <x:v>Survey</x:v>
      </x:c>
      <x:c r="F47" s="18" t="str">
        <x:v>Raw</x:v>
      </x:c>
      <x:c r="G47" s="18" t="str">
        <x:v>Direct</x:v>
      </x:c>
      <x:c r="H47" s="18" t="str">
        <x:v>S33</x:v>
      </x:c>
      <x:c r="I47" s="18" t="str">
        <x:v>07_Survey_Context B18:C18</x:v>
      </x:c>
      <x:c r="J47" s="18" t="str">
        <x:v>Entry mechanism</x:v>
      </x:c>
      <x:c r="K47" s="18" t="str">
        <x:v>Survey sample.</x:v>
      </x:c>
      <x:c r="L47" s="18" t="str">
        <x:v>Blue</x:v>
      </x:c>
    </x:row>
    <x:row r="48" ht="15" hidden="0" customHeight="1">
      <x:c r="A48" s="18" t="str">
        <x:v>CPI_INDEX</x:v>
      </x:c>
      <x:c r="B48" s="18" t="str">
        <x:v>CPI index</x:v>
      </x:c>
      <x:c r="C48" s="18" t="str">
        <x:v>Japan all-items CPI index.</x:v>
      </x:c>
      <x:c r="D48" s="18" t="str">
        <x:v>index</x:v>
      </x:c>
      <x:c r="E48" s="18" t="str">
        <x:v>Annual</x:v>
      </x:c>
      <x:c r="F48" s="18" t="str">
        <x:v>Raw</x:v>
      </x:c>
      <x:c r="G48" s="18" t="str">
        <x:v>None</x:v>
      </x:c>
      <x:c r="H48" s="18" t="str">
        <x:v>S14-S16</x:v>
      </x:c>
      <x:c r="I48" s="18" t="str">
        <x:v>08_Macro_Market B6:B8</x:v>
      </x:c>
      <x:c r="J48" s="18" t="str">
        <x:v>Macro context</x:v>
      </x:c>
      <x:c r="K48" s="18" t="str">
        <x:v>Official annual data.</x:v>
      </x:c>
      <x:c r="L48" s="18" t="str">
        <x:v>Blue</x:v>
      </x:c>
    </x:row>
    <x:row r="49" ht="15" hidden="0" customHeight="1">
      <x:c r="A49" s="18" t="str">
        <x:v>CPI_YOY</x:v>
      </x:c>
      <x:c r="B49" s="18" t="str">
        <x:v>CPI inflation</x:v>
      </x:c>
      <x:c r="C49" s="18" t="str">
        <x:v>Annual all-items CPI change.</x:v>
      </x:c>
      <x:c r="D49" s="18" t="str">
        <x:v>%</x:v>
      </x:c>
      <x:c r="E49" s="18" t="str">
        <x:v>Annual</x:v>
      </x:c>
      <x:c r="F49" s="18" t="str">
        <x:v>Raw</x:v>
      </x:c>
      <x:c r="G49" s="18" t="str">
        <x:v>None</x:v>
      </x:c>
      <x:c r="H49" s="18" t="str">
        <x:v>S14-S16</x:v>
      </x:c>
      <x:c r="I49" s="18" t="str">
        <x:v>08_Macro_Market C6:C8</x:v>
      </x:c>
      <x:c r="J49" s="18" t="str">
        <x:v>Macro context</x:v>
      </x:c>
      <x:c r="K49" s="18" t="str">
        <x:v>Not causal control.</x:v>
      </x:c>
      <x:c r="L49" s="18" t="str">
        <x:v>Blue</x:v>
      </x:c>
    </x:row>
    <x:row r="50" ht="15" hidden="0" customHeight="1">
      <x:c r="A50" s="18" t="str">
        <x:v>TOPIX_CLOSE</x:v>
      </x:c>
      <x:c r="B50" s="18" t="str">
        <x:v>TOPIX year-end</x:v>
      </x:c>
      <x:c r="C50" s="18" t="str">
        <x:v>TOPIX year-end price index level.</x:v>
      </x:c>
      <x:c r="D50" s="18" t="str">
        <x:v>index pts</x:v>
      </x:c>
      <x:c r="E50" s="18" t="str">
        <x:v>Annual</x:v>
      </x:c>
      <x:c r="F50" s="18" t="str">
        <x:v>Raw</x:v>
      </x:c>
      <x:c r="G50" s="18" t="str">
        <x:v>None</x:v>
      </x:c>
      <x:c r="H50" s="18" t="str">
        <x:v>S17;S18</x:v>
      </x:c>
      <x:c r="I50" s="18" t="str">
        <x:v>08_Macro_Market D6:D8</x:v>
      </x:c>
      <x:c r="J50" s="18" t="str">
        <x:v>Market confounder</x:v>
      </x:c>
      <x:c r="K50" s="18" t="str">
        <x:v>Secondary history source.</x:v>
      </x:c>
      <x:c r="L50" s="18" t="str">
        <x:v>Blue</x:v>
      </x:c>
    </x:row>
    <x:row r="51" ht="15" hidden="0" customHeight="1">
      <x:c r="A51" s="18" t="str">
        <x:v>TOPIX_RETURN</x:v>
      </x:c>
      <x:c r="B51" s="18" t="str">
        <x:v>TOPIX annual price return</x:v>
      </x:c>
      <x:c r="C51" s="18" t="str">
        <x:v>Calendar-year price-index return.</x:v>
      </x:c>
      <x:c r="D51" s="18" t="str">
        <x:v>%</x:v>
      </x:c>
      <x:c r="E51" s="18" t="str">
        <x:v>Annual</x:v>
      </x:c>
      <x:c r="F51" s="18" t="str">
        <x:v>Raw</x:v>
      </x:c>
      <x:c r="G51" s="18" t="str">
        <x:v>None</x:v>
      </x:c>
      <x:c r="H51" s="18" t="str">
        <x:v>S17</x:v>
      </x:c>
      <x:c r="I51" s="18" t="str">
        <x:v>08_Macro_Market E6:E8</x:v>
      </x:c>
      <x:c r="J51" s="18" t="str">
        <x:v>Market confounder</x:v>
      </x:c>
      <x:c r="K51" s="18" t="str">
        <x:v>Not total return.</x:v>
      </x:c>
      <x:c r="L51" s="18" t="str">
        <x:v>Blue</x:v>
      </x:c>
    </x:row>
    <x:row r="52" ht="15" hidden="0" customHeight="1">
      <x:c r="A52" s="18" t="str">
        <x:v>RKT_GEN_ACCTS</x:v>
      </x:c>
      <x:c r="B52" s="18" t="str">
        <x:v>Rakuten general accounts</x:v>
      </x:c>
      <x:c r="C52" s="18" t="str">
        <x:v>General securities accounts.</x:v>
      </x:c>
      <x:c r="D52" s="18" t="str">
        <x:v>m accounts</x:v>
      </x:c>
      <x:c r="E52" s="18" t="str">
        <x:v>Annual/interim</x:v>
      </x:c>
      <x:c r="F52" s="18" t="str">
        <x:v>Raw</x:v>
      </x:c>
      <x:c r="G52" s="18" t="str">
        <x:v>None</x:v>
      </x:c>
      <x:c r="H52" s="18" t="str">
        <x:v>S23;S24</x:v>
      </x:c>
      <x:c r="I52" s="18" t="str">
        <x:v>09_Firm_Comparison B6:B9</x:v>
      </x:c>
      <x:c r="J52" s="18" t="str">
        <x:v>Customer scale</x:v>
      </x:c>
      <x:c r="K52" s="18" t="str">
        <x:v>Company-defined.</x:v>
      </x:c>
      <x:c r="L52" s="18" t="str">
        <x:v>Blue</x:v>
      </x:c>
    </x:row>
    <x:row r="53" ht="15" hidden="0" customHeight="1">
      <x:c r="A53" s="18" t="str">
        <x:v>RKT_NISA_ACCTS</x:v>
      </x:c>
      <x:c r="B53" s="18" t="str">
        <x:v>Rakuten NISA accounts</x:v>
      </x:c>
      <x:c r="C53" s="18" t="str">
        <x:v>Rakuten NISA account stock.</x:v>
      </x:c>
      <x:c r="D53" s="18" t="str">
        <x:v>m accounts</x:v>
      </x:c>
      <x:c r="E53" s="18" t="str">
        <x:v>Annual/interim</x:v>
      </x:c>
      <x:c r="F53" s="18" t="str">
        <x:v>Raw</x:v>
      </x:c>
      <x:c r="G53" s="18" t="str">
        <x:v>None</x:v>
      </x:c>
      <x:c r="H53" s="18" t="str">
        <x:v>S23;S24</x:v>
      </x:c>
      <x:c r="I53" s="18" t="str">
        <x:v>09_Firm_Comparison C6:C9</x:v>
      </x:c>
      <x:c r="J53" s="18" t="str">
        <x:v>Direct NISA exposure</x:v>
      </x:c>
      <x:c r="K53" s="18" t="str">
        <x:v>2024 approximate; 2025 ~6.99m.</x:v>
      </x:c>
      <x:c r="L53" s="18" t="str">
        <x:v>Blue</x:v>
      </x:c>
    </x:row>
    <x:row r="54" ht="15" hidden="0" customHeight="1">
      <x:c r="A54" s="18" t="str">
        <x:v>RKT_DEPOSITED_ASSETS</x:v>
      </x:c>
      <x:c r="B54" s="18" t="str">
        <x:v>Rakuten deposited assets</x:v>
      </x:c>
      <x:c r="C54" s="18" t="str">
        <x:v>Deposited customer assets.</x:v>
      </x:c>
      <x:c r="D54" s="18" t="str">
        <x:v>¥tn</x:v>
      </x:c>
      <x:c r="E54" s="18" t="str">
        <x:v>Annual</x:v>
      </x:c>
      <x:c r="F54" s="18" t="str">
        <x:v>Raw</x:v>
      </x:c>
      <x:c r="G54" s="18" t="str">
        <x:v>None</x:v>
      </x:c>
      <x:c r="H54" s="18" t="str">
        <x:v>S23</x:v>
      </x:c>
      <x:c r="I54" s="18" t="str">
        <x:v>09_Firm_Comparison D6:D8</x:v>
      </x:c>
      <x:c r="J54" s="18" t="str">
        <x:v>Asset scale</x:v>
      </x:c>
      <x:c r="K54" s="18" t="str">
        <x:v>Company-defined.</x:v>
      </x:c>
      <x:c r="L54" s="18" t="str">
        <x:v>Blue</x:v>
      </x:c>
    </x:row>
    <x:row r="55" ht="15" hidden="0" customHeight="1">
      <x:c r="A55" s="18" t="str">
        <x:v>RKT_REVENUE</x:v>
      </x:c>
      <x:c r="B55" s="18" t="str">
        <x:v>Rakuten operating revenue</x:v>
      </x:c>
      <x:c r="C55" s="18" t="str">
        <x:v>Consolidated J-GAAP operating revenue.</x:v>
      </x:c>
      <x:c r="D55" s="18" t="str">
        <x:v>¥bn</x:v>
      </x:c>
      <x:c r="E55" s="18" t="str">
        <x:v>Annual</x:v>
      </x:c>
      <x:c r="F55" s="18" t="str">
        <x:v>Raw</x:v>
      </x:c>
      <x:c r="G55" s="18" t="str">
        <x:v>¥m/1000</x:v>
      </x:c>
      <x:c r="H55" s="18" t="str">
        <x:v>S22</x:v>
      </x:c>
      <x:c r="I55" s="18" t="str">
        <x:v>09_Firm_Comparison E6:E8</x:v>
      </x:c>
      <x:c r="J55" s="18" t="str">
        <x:v>Scenario base</x:v>
      </x:c>
      <x:c r="K55" s="18" t="str">
        <x:v>Exact.</x:v>
      </x:c>
      <x:c r="L55" s="18" t="str">
        <x:v>Blue</x:v>
      </x:c>
    </x:row>
    <x:row r="56" ht="15" hidden="0" customHeight="1">
      <x:c r="A56" s="18" t="str">
        <x:v>RKT_PRETAX</x:v>
      </x:c>
      <x:c r="B56" s="18" t="str">
        <x:v>Rakuten pre-tax income</x:v>
      </x:c>
      <x:c r="C56" s="18" t="str">
        <x:v>Consolidated J-GAAP income before tax.</x:v>
      </x:c>
      <x:c r="D56" s="18" t="str">
        <x:v>¥bn</x:v>
      </x:c>
      <x:c r="E56" s="18" t="str">
        <x:v>Annual</x:v>
      </x:c>
      <x:c r="F56" s="18" t="str">
        <x:v>Raw</x:v>
      </x:c>
      <x:c r="G56" s="18" t="str">
        <x:v>¥m/1000</x:v>
      </x:c>
      <x:c r="H56" s="18" t="str">
        <x:v>S22</x:v>
      </x:c>
      <x:c r="I56" s="18" t="str">
        <x:v>09_Firm_Comparison F6:F8</x:v>
      </x:c>
      <x:c r="J56" s="18" t="str">
        <x:v>Profitability</x:v>
      </x:c>
      <x:c r="K56" s="18" t="str">
        <x:v>Exact.</x:v>
      </x:c>
      <x:c r="L56" s="18" t="str">
        <x:v>Blue</x:v>
      </x:c>
    </x:row>
    <x:row r="57" ht="15" hidden="0" customHeight="1">
      <x:c r="A57" s="18" t="str">
        <x:v>RKT_NET_INCOME</x:v>
      </x:c>
      <x:c r="B57" s="18" t="str">
        <x:v>Rakuten net income</x:v>
      </x:c>
      <x:c r="C57" s="18" t="str">
        <x:v>Net income attributable to owners.</x:v>
      </x:c>
      <x:c r="D57" s="18" t="str">
        <x:v>¥bn</x:v>
      </x:c>
      <x:c r="E57" s="18" t="str">
        <x:v>Annual</x:v>
      </x:c>
      <x:c r="F57" s="18" t="str">
        <x:v>Raw</x:v>
      </x:c>
      <x:c r="G57" s="18" t="str">
        <x:v>¥m/1000</x:v>
      </x:c>
      <x:c r="H57" s="18" t="str">
        <x:v>S22</x:v>
      </x:c>
      <x:c r="I57" s="18" t="str">
        <x:v>09_Firm_Comparison G6:G8</x:v>
      </x:c>
      <x:c r="J57" s="18" t="str">
        <x:v>Valuation earnings</x:v>
      </x:c>
      <x:c r="K57" s="18" t="str">
        <x:v>Exact.</x:v>
      </x:c>
      <x:c r="L57" s="18" t="str">
        <x:v>Blue</x:v>
      </x:c>
    </x:row>
    <x:row r="58" ht="15" hidden="0" customHeight="1">
      <x:c r="A58" s="18" t="str">
        <x:v>RKT_REVPACCT</x:v>
      </x:c>
      <x:c r="B58" s="18" t="str">
        <x:v>Rakuten revenue/account</x:v>
      </x:c>
      <x:c r="C58" s="18" t="str">
        <x:v>Revenue / YE general accounts.</x:v>
      </x:c>
      <x:c r="D58" s="18" t="str">
        <x:v>¥/account</x:v>
      </x:c>
      <x:c r="E58" s="18" t="str">
        <x:v>Annual</x:v>
      </x:c>
      <x:c r="F58" s="18" t="str">
        <x:v>Formula</x:v>
      </x:c>
      <x:c r="G58" s="18" t="str">
        <x:v>Revenue*1000/accounts</x:v>
      </x:c>
      <x:c r="H58" s="18" t="str">
        <x:v>Derived</x:v>
      </x:c>
      <x:c r="I58" s="18" t="str">
        <x:v>10_Rakuten_Scenario F6:F8</x:v>
      </x:c>
      <x:c r="J58" s="18" t="str">
        <x:v>Monetization</x:v>
      </x:c>
      <x:c r="K58" s="18" t="str">
        <x:v>YE rather than average accounts.</x:v>
      </x:c>
      <x:c r="L58" s="18" t="str">
        <x:v>Black</x:v>
      </x:c>
    </x:row>
    <x:row r="59" ht="15" hidden="0" customHeight="1">
      <x:c r="A59" s="18" t="str">
        <x:v>RKT_PRETAX_MARGIN</x:v>
      </x:c>
      <x:c r="B59" s="18" t="str">
        <x:v>Rakuten pre-tax margin</x:v>
      </x:c>
      <x:c r="C59" s="18" t="str">
        <x:v>Pre-tax / revenue.</x:v>
      </x:c>
      <x:c r="D59" s="18" t="str">
        <x:v>%</x:v>
      </x:c>
      <x:c r="E59" s="18" t="str">
        <x:v>Annual</x:v>
      </x:c>
      <x:c r="F59" s="18" t="str">
        <x:v>Formula</x:v>
      </x:c>
      <x:c r="G59" s="18" t="str">
        <x:v>D/C</x:v>
      </x:c>
      <x:c r="H59" s="18" t="str">
        <x:v>Derived</x:v>
      </x:c>
      <x:c r="I59" s="18" t="str">
        <x:v>10_Rakuten_Scenario G6:G8</x:v>
      </x:c>
      <x:c r="J59" s="18" t="str">
        <x:v>Profitability</x:v>
      </x:c>
      <x:c r="K59" s="18" t="str">
        <x:v>Accounting pre-tax margin.</x:v>
      </x:c>
      <x:c r="L59" s="18" t="str">
        <x:v>Black</x:v>
      </x:c>
    </x:row>
    <x:row r="60" ht="15" hidden="0" customHeight="1">
      <x:c r="A60" s="18" t="str">
        <x:v>RKT_NET_MARGIN</x:v>
      </x:c>
      <x:c r="B60" s="18" t="str">
        <x:v>Rakuten net margin</x:v>
      </x:c>
      <x:c r="C60" s="18" t="str">
        <x:v>Net income / revenue.</x:v>
      </x:c>
      <x:c r="D60" s="18" t="str">
        <x:v>%</x:v>
      </x:c>
      <x:c r="E60" s="18" t="str">
        <x:v>Annual</x:v>
      </x:c>
      <x:c r="F60" s="18" t="str">
        <x:v>Formula</x:v>
      </x:c>
      <x:c r="G60" s="18" t="str">
        <x:v>E/C</x:v>
      </x:c>
      <x:c r="H60" s="18" t="str">
        <x:v>Derived</x:v>
      </x:c>
      <x:c r="I60" s="18" t="str">
        <x:v>10_Rakuten_Scenario H6:H8</x:v>
      </x:c>
      <x:c r="J60" s="18" t="str">
        <x:v>Valuation driver</x:v>
      </x:c>
      <x:c r="K60" s="18" t="str">
        <x:v>Taxes/extraordinary items matter.</x:v>
      </x:c>
      <x:c r="L60" s="18" t="str">
        <x:v>Black</x:v>
      </x:c>
    </x:row>
    <x:row r="61" ht="15" hidden="0" customHeight="1">
      <x:c r="A61" s="18" t="str">
        <x:v>SBI_NISA_ACCTS</x:v>
      </x:c>
      <x:c r="B61" s="18" t="str">
        <x:v>SBI NISA accounts</x:v>
      </x:c>
      <x:c r="C61" s="18" t="str">
        <x:v>SBI NISA account milestone/period-end disclosure.</x:v>
      </x:c>
      <x:c r="D61" s="18" t="str">
        <x:v>m accounts</x:v>
      </x:c>
      <x:c r="E61" s="18" t="str">
        <x:v>Selected</x:v>
      </x:c>
      <x:c r="F61" s="18" t="str">
        <x:v>Raw</x:v>
      </x:c>
      <x:c r="G61" s="18" t="str">
        <x:v>None</x:v>
      </x:c>
      <x:c r="H61" s="18" t="str">
        <x:v>S26;S27</x:v>
      </x:c>
      <x:c r="I61" s="18" t="str">
        <x:v>09_Firm_Comparison B14:C20</x:v>
      </x:c>
      <x:c r="J61" s="18" t="str">
        <x:v>Direct NISA scale</x:v>
      </x:c>
      <x:c r="K61" s="18" t="str">
        <x:v>Different perimeter.</x:v>
      </x:c>
      <x:c r="L61" s="18" t="str">
        <x:v>Blue</x:v>
      </x:c>
    </x:row>
    <x:row r="62" ht="15" hidden="0" customHeight="1">
      <x:c r="A62" s="18" t="str">
        <x:v>SBI_FUND_CUSTODY</x:v>
      </x:c>
      <x:c r="B62" s="18" t="str">
        <x:v>SBI investment-trust custody</x:v>
      </x:c>
      <x:c r="C62" s="18" t="str">
        <x:v>Investment-trust custody balance.</x:v>
      </x:c>
      <x:c r="D62" s="18" t="str">
        <x:v>¥tn</x:v>
      </x:c>
      <x:c r="E62" s="18" t="str">
        <x:v>Selected</x:v>
      </x:c>
      <x:c r="F62" s="18" t="str">
        <x:v>Raw</x:v>
      </x:c>
      <x:c r="G62" s="18" t="str">
        <x:v>None</x:v>
      </x:c>
      <x:c r="H62" s="18" t="str">
        <x:v>S25;S28</x:v>
      </x:c>
      <x:c r="I62" s="18" t="str">
        <x:v>09_Firm_Comparison B14:C20</x:v>
      </x:c>
      <x:c r="J62" s="18" t="str">
        <x:v>Recurring AUM</x:v>
      </x:c>
      <x:c r="K62" s="18" t="str">
        <x:v>Not total client assets.</x:v>
      </x:c>
      <x:c r="L62" s="18" t="str">
        <x:v>Blue</x:v>
      </x:c>
    </x:row>
    <x:row r="63" ht="15" hidden="0" customHeight="1">
      <x:c r="A63" s="18" t="str">
        <x:v>NOM_REC_ASSETS</x:v>
      </x:c>
      <x:c r="B63" s="18" t="str">
        <x:v>Nomura recurring assets</x:v>
      </x:c>
      <x:c r="C63" s="18" t="str">
        <x:v>Recurring-revenue asset base.</x:v>
      </x:c>
      <x:c r="D63" s="18" t="str">
        <x:v>¥tn</x:v>
      </x:c>
      <x:c r="E63" s="18" t="str">
        <x:v>FY/Qtr</x:v>
      </x:c>
      <x:c r="F63" s="18" t="str">
        <x:v>Raw</x:v>
      </x:c>
      <x:c r="G63" s="18" t="str">
        <x:v>None</x:v>
      </x:c>
      <x:c r="H63" s="18" t="str">
        <x:v>S29;S30</x:v>
      </x:c>
      <x:c r="I63" s="18" t="str">
        <x:v>09_Firm_Comparison D25:D26</x:v>
      </x:c>
      <x:c r="J63" s="18" t="str">
        <x:v>Recurring monetization</x:v>
      </x:c>
      <x:c r="K63" s="18" t="str">
        <x:v>Definition revised.</x:v>
      </x:c>
      <x:c r="L63" s="18" t="str">
        <x:v>Blue</x:v>
      </x:c>
    </x:row>
    <x:row r="64" ht="15" hidden="0" customHeight="1">
      <x:c r="A64" s="18" t="str">
        <x:v>NOM_REC_INFLOWS</x:v>
      </x:c>
      <x:c r="B64" s="18" t="str">
        <x:v>Nomura recurring inflows</x:v>
      </x:c>
      <x:c r="C64" s="18" t="str">
        <x:v>Net inflow into recurring assets.</x:v>
      </x:c>
      <x:c r="D64" s="18" t="str">
        <x:v>¥bn</x:v>
      </x:c>
      <x:c r="E64" s="18" t="str">
        <x:v>FY</x:v>
      </x:c>
      <x:c r="F64" s="18" t="str">
        <x:v>Raw</x:v>
      </x:c>
      <x:c r="G64" s="18" t="str">
        <x:v>None</x:v>
      </x:c>
      <x:c r="H64" s="18" t="str">
        <x:v>S29;S30</x:v>
      </x:c>
      <x:c r="I64" s="18" t="str">
        <x:v>09_Firm_Comparison E26</x:v>
      </x:c>
      <x:c r="J64" s="18" t="str">
        <x:v>Flow capture</x:v>
      </x:c>
      <x:c r="K64" s="18" t="str">
        <x:v>FY vs qtr metrics mixed.</x:v>
      </x:c>
      <x:c r="L64" s="18" t="str">
        <x:v>Blue</x:v>
      </x:c>
    </x:row>
    <x:row r="65" ht="15" hidden="0" customHeight="1">
      <x:c r="A65" s="18" t="str">
        <x:v>DAIWA_NISA_INFLOW</x:v>
      </x:c>
      <x:c r="B65" s="18" t="str">
        <x:v>Daiwa NISA fund inflows</x:v>
      </x:c>
      <x:c r="C65" s="18" t="str">
        <x:v>NISA-eligible fund inflows.</x:v>
      </x:c>
      <x:c r="D65" s="18" t="str">
        <x:v>¥tn</x:v>
      </x:c>
      <x:c r="E65" s="18" t="str">
        <x:v>FY2024</x:v>
      </x:c>
      <x:c r="F65" s="18" t="str">
        <x:v>Raw</x:v>
      </x:c>
      <x:c r="G65" s="18" t="str">
        <x:v>None</x:v>
      </x:c>
      <x:c r="H65" s="18" t="str">
        <x:v>S31</x:v>
      </x:c>
      <x:c r="I65" s="18" t="str">
        <x:v>09_Firm_Comparison C31</x:v>
      </x:c>
      <x:c r="J65" s="18" t="str">
        <x:v>Product benefit</x:v>
      </x:c>
      <x:c r="K65" s="18" t="str">
        <x:v>Not brokerage accounts.</x:v>
      </x:c>
      <x:c r="L65" s="18" t="str">
        <x:v>Blue</x:v>
      </x:c>
    </x:row>
    <x:row r="66" ht="15" hidden="0" customHeight="1">
      <x:c r="A66" s="18" t="str">
        <x:v>DAIWA_INFLOW_SHARE</x:v>
      </x:c>
      <x:c r="B66" s="18" t="str">
        <x:v>Daiwa inflow share</x:v>
      </x:c>
      <x:c r="C66" s="18" t="str">
        <x:v>Approx industry share.</x:v>
      </x:c>
      <x:c r="D66" s="18" t="str">
        <x:v>%</x:v>
      </x:c>
      <x:c r="E66" s="18" t="str">
        <x:v>FY2024</x:v>
      </x:c>
      <x:c r="F66" s="18" t="str">
        <x:v>Raw</x:v>
      </x:c>
      <x:c r="G66" s="18" t="str">
        <x:v>None</x:v>
      </x:c>
      <x:c r="H66" s="18" t="str">
        <x:v>S31</x:v>
      </x:c>
      <x:c r="I66" s="18" t="str">
        <x:v>09_Firm_Comparison D31</x:v>
      </x:c>
      <x:c r="J66" s="18" t="str">
        <x:v>Competitive position</x:v>
      </x:c>
      <x:c r="K66" s="18" t="str">
        <x:v>Daiwa estimate.</x:v>
      </x:c>
      <x:c r="L66" s="18" t="str">
        <x:v>Blue</x:v>
      </x:c>
    </x:row>
    <x:row r="67" ht="15" hidden="0" customHeight="1">
      <x:c r="A67" s="18" t="str">
        <x:v>SCEN_ACCT_GROWTH</x:v>
      </x:c>
      <x:c r="B67" s="18" t="str">
        <x:v>Scenario account growth</x:v>
      </x:c>
      <x:c r="C67" s="18" t="str">
        <x:v>Annual general-account growth by case.</x:v>
      </x:c>
      <x:c r="D67" s="18" t="str">
        <x:v>%</x:v>
      </x:c>
      <x:c r="E67" s="18" t="str">
        <x:v>2026-28</x:v>
      </x:c>
      <x:c r="F67" s="18" t="str">
        <x:v>Assumption</x:v>
      </x:c>
      <x:c r="G67" s="18" t="str">
        <x:v>Observed anchors</x:v>
      </x:c>
      <x:c r="H67" s="18" t="str">
        <x:v>S02;S03;S23;S24</x:v>
      </x:c>
      <x:c r="I67" s="18" t="str">
        <x:v>10_Rakuten_Scenario B15:D15</x:v>
      </x:c>
      <x:c r="J67" s="18" t="str">
        <x:v>Forecast scale</x:v>
      </x:c>
      <x:c r="K67" s="18" t="str">
        <x:v>Constant per case.</x:v>
      </x:c>
      <x:c r="L67" s="18" t="str">
        <x:v>Yellow</x:v>
      </x:c>
    </x:row>
    <x:row r="68" ht="15" hidden="0" customHeight="1">
      <x:c r="A68" s="18" t="str">
        <x:v>SCEN_REVPACCT_GROWTH</x:v>
      </x:c>
      <x:c r="B68" s="18" t="str">
        <x:v>Scenario RPA growth</x:v>
      </x:c>
      <x:c r="C68" s="18" t="str">
        <x:v>Annual revenue/account growth.</x:v>
      </x:c>
      <x:c r="D68" s="18" t="str">
        <x:v>%</x:v>
      </x:c>
      <x:c r="E68" s="18" t="str">
        <x:v>2026-28</x:v>
      </x:c>
      <x:c r="F68" s="18" t="str">
        <x:v>Assumption</x:v>
      </x:c>
      <x:c r="G68" s="18" t="str">
        <x:v>Historical low/avg/high</x:v>
      </x:c>
      <x:c r="H68" s="18" t="str">
        <x:v>S22</x:v>
      </x:c>
      <x:c r="I68" s="18" t="str">
        <x:v>10_Rakuten_Scenario B16:D16</x:v>
      </x:c>
      <x:c r="J68" s="18" t="str">
        <x:v>Monetization</x:v>
      </x:c>
      <x:c r="K68" s="18" t="str">
        <x:v>Simplified mix.</x:v>
      </x:c>
      <x:c r="L68" s="18" t="str">
        <x:v>Yellow</x:v>
      </x:c>
    </x:row>
    <x:row r="69" ht="15" hidden="0" customHeight="1">
      <x:c r="A69" s="18" t="str">
        <x:v>SCEN_PRETAX_MARGIN</x:v>
      </x:c>
      <x:c r="B69" s="18" t="str">
        <x:v>Scenario pre-tax margin</x:v>
      </x:c>
      <x:c r="C69" s="18" t="str">
        <x:v>Pre-tax/revenue case assumption.</x:v>
      </x:c>
      <x:c r="D69" s="18" t="str">
        <x:v>%</x:v>
      </x:c>
      <x:c r="E69" s="18" t="str">
        <x:v>2026-28</x:v>
      </x:c>
      <x:c r="F69" s="18" t="str">
        <x:v>Assumption</x:v>
      </x:c>
      <x:c r="G69" s="18" t="str">
        <x:v>Historical 2024/avg/2025</x:v>
      </x:c>
      <x:c r="H69" s="18" t="str">
        <x:v>S22</x:v>
      </x:c>
      <x:c r="I69" s="18" t="str">
        <x:v>10_Rakuten_Scenario B17:D17</x:v>
      </x:c>
      <x:c r="J69" s="18" t="str">
        <x:v>Profitability check</x:v>
      </x:c>
      <x:c r="K69" s="18" t="str">
        <x:v>Not valuation base.</x:v>
      </x:c>
      <x:c r="L69" s="18" t="str">
        <x:v>Yellow</x:v>
      </x:c>
    </x:row>
    <x:row r="70" ht="15" hidden="0" customHeight="1">
      <x:c r="A70" s="18" t="str">
        <x:v>SCEN_NET_MARGIN</x:v>
      </x:c>
      <x:c r="B70" s="18" t="str">
        <x:v>Scenario net margin</x:v>
      </x:c>
      <x:c r="C70" s="18" t="str">
        <x:v>Net/revenue case assumption.</x:v>
      </x:c>
      <x:c r="D70" s="18" t="str">
        <x:v>%</x:v>
      </x:c>
      <x:c r="E70" s="18" t="str">
        <x:v>2026-28</x:v>
      </x:c>
      <x:c r="F70" s="18" t="str">
        <x:v>Assumption</x:v>
      </x:c>
      <x:c r="G70" s="18" t="str">
        <x:v>Historical low/avg/high</x:v>
      </x:c>
      <x:c r="H70" s="18" t="str">
        <x:v>S22</x:v>
      </x:c>
      <x:c r="I70" s="18" t="str">
        <x:v>10_Rakuten_Scenario B18:D18</x:v>
      </x:c>
      <x:c r="J70" s="18" t="str">
        <x:v>Net income</x:v>
      </x:c>
      <x:c r="K70" s="18" t="str">
        <x:v>Future mix differs.</x:v>
      </x:c>
      <x:c r="L70" s="18" t="str">
        <x:v>Yellow</x:v>
      </x:c>
    </x:row>
    <x:row r="71" ht="15" hidden="0" customHeight="1">
      <x:c r="A71" s="18" t="str">
        <x:v>SCEN_PER_LOW</x:v>
      </x:c>
      <x:c r="B71" s="18" t="str">
        <x:v>PER low</x:v>
      </x:c>
      <x:c r="C71" s="18" t="str">
        <x:v>Daiwa PER lower bound.</x:v>
      </x:c>
      <x:c r="D71" s="18" t="str">
        <x:v>x</x:v>
      </x:c>
      <x:c r="E71" s="18" t="str">
        <x:v>Sensitivity</x:v>
      </x:c>
      <x:c r="F71" s="18" t="str">
        <x:v>Assumption</x:v>
      </x:c>
      <x:c r="G71" s="18" t="str">
        <x:v>16.2x</x:v>
      </x:c>
      <x:c r="H71" s="18" t="str">
        <x:v>S22</x:v>
      </x:c>
      <x:c r="I71" s="18" t="str">
        <x:v>10_Rakuten_Scenario B19:D19</x:v>
      </x:c>
      <x:c r="J71" s="18" t="str">
        <x:v>Valuation sensitivity</x:v>
      </x:c>
      <x:c r="K71" s="18" t="str">
        <x:v>HD perimeter.</x:v>
      </x:c>
      <x:c r="L71" s="18" t="str">
        <x:v>Yellow</x:v>
      </x:c>
    </x:row>
    <x:row r="72" ht="15" hidden="0" customHeight="1">
      <x:c r="A72" s="18" t="str">
        <x:v>SCEN_PER_MID</x:v>
      </x:c>
      <x:c r="B72" s="18" t="str">
        <x:v>PER midpoint</x:v>
      </x:c>
      <x:c r="C72" s="18" t="str">
        <x:v>Midpoint of 16.2-19.8x.</x:v>
      </x:c>
      <x:c r="D72" s="18" t="str">
        <x:v>x</x:v>
      </x:c>
      <x:c r="E72" s="18" t="str">
        <x:v>Sensitivity</x:v>
      </x:c>
      <x:c r="F72" s="18" t="str">
        <x:v>Assumption</x:v>
      </x:c>
      <x:c r="G72" s="18" t="str">
        <x:v>18.0x</x:v>
      </x:c>
      <x:c r="H72" s="18" t="str">
        <x:v>S22</x:v>
      </x:c>
      <x:c r="I72" s="18" t="str">
        <x:v>10_Rakuten_Scenario B20:D20</x:v>
      </x:c>
      <x:c r="J72" s="18" t="str">
        <x:v>Valuation sensitivity</x:v>
      </x:c>
      <x:c r="K72" s="18" t="str">
        <x:v>Not market trading multiple.</x:v>
      </x:c>
      <x:c r="L72" s="18" t="str">
        <x:v>Yellow</x:v>
      </x:c>
    </x:row>
    <x:row r="73" ht="15" hidden="0" customHeight="1">
      <x:c r="A73" s="18" t="str">
        <x:v>SCEN_PER_HIGH</x:v>
      </x:c>
      <x:c r="B73" s="18" t="str">
        <x:v>PER high</x:v>
      </x:c>
      <x:c r="C73" s="18" t="str">
        <x:v>Daiwa PER upper bound.</x:v>
      </x:c>
      <x:c r="D73" s="18" t="str">
        <x:v>x</x:v>
      </x:c>
      <x:c r="E73" s="18" t="str">
        <x:v>Sensitivity</x:v>
      </x:c>
      <x:c r="F73" s="18" t="str">
        <x:v>Assumption</x:v>
      </x:c>
      <x:c r="G73" s="18" t="str">
        <x:v>19.8x</x:v>
      </x:c>
      <x:c r="H73" s="18" t="str">
        <x:v>S22</x:v>
      </x:c>
      <x:c r="I73" s="18" t="str">
        <x:v>10_Rakuten_Scenario B21:D21</x:v>
      </x:c>
      <x:c r="J73" s="18" t="str">
        <x:v>Valuation sensitivity</x:v>
      </x:c>
      <x:c r="K73" s="18" t="str">
        <x:v>Not formal target.</x:v>
      </x:c>
      <x:c r="L73" s="18" t="str">
        <x:v>Yellow</x:v>
      </x:c>
    </x:row>
    <x:row r="74" ht="15" hidden="0" customHeight="1">
      <x:c r="A74" s="18" t="str">
        <x:v>FCST_ACCTS</x:v>
      </x:c>
      <x:c r="B74" s="18" t="str">
        <x:v>Forecast accounts</x:v>
      </x:c>
      <x:c r="C74" s="18" t="str">
        <x:v>Projected Rakuten general accounts.</x:v>
      </x:c>
      <x:c r="D74" s="18" t="str">
        <x:v>m accounts</x:v>
      </x:c>
      <x:c r="E74" s="18" t="str">
        <x:v>Annual</x:v>
      </x:c>
      <x:c r="F74" s="18" t="str">
        <x:v>Formula</x:v>
      </x:c>
      <x:c r="G74" s="18" t="str">
        <x:v>Prior*(1+growth)</x:v>
      </x:c>
      <x:c r="H74" s="18" t="str">
        <x:v>Derived</x:v>
      </x:c>
      <x:c r="I74" s="18" t="str">
        <x:v>10_Rakuten_Scenario C26:C34</x:v>
      </x:c>
      <x:c r="J74" s="18" t="str">
        <x:v>Scenario output</x:v>
      </x:c>
      <x:c r="K74" s="18" t="str">
        <x:v>Constant growth.</x:v>
      </x:c>
      <x:c r="L74" s="18" t="str">
        <x:v>Black</x:v>
      </x:c>
    </x:row>
    <x:row r="75" ht="15" hidden="0" customHeight="1">
      <x:c r="A75" s="18" t="str">
        <x:v>FCST_REVPACCT</x:v>
      </x:c>
      <x:c r="B75" s="18" t="str">
        <x:v>Forecast RPA</x:v>
      </x:c>
      <x:c r="C75" s="18" t="str">
        <x:v>Projected revenue/account.</x:v>
      </x:c>
      <x:c r="D75" s="18" t="str">
        <x:v>¥/account</x:v>
      </x:c>
      <x:c r="E75" s="18" t="str">
        <x:v>Annual</x:v>
      </x:c>
      <x:c r="F75" s="18" t="str">
        <x:v>Formula</x:v>
      </x:c>
      <x:c r="G75" s="18" t="str">
        <x:v>Prior*(1+growth)</x:v>
      </x:c>
      <x:c r="H75" s="18" t="str">
        <x:v>Derived</x:v>
      </x:c>
      <x:c r="I75" s="18" t="str">
        <x:v>10_Rakuten_Scenario D26:D34</x:v>
      </x:c>
      <x:c r="J75" s="18" t="str">
        <x:v>Scenario output</x:v>
      </x:c>
      <x:c r="K75" s="18" t="str">
        <x:v>Simplified.</x:v>
      </x:c>
      <x:c r="L75" s="18" t="str">
        <x:v>Black</x:v>
      </x:c>
    </x:row>
    <x:row r="76" ht="15" hidden="0" customHeight="1">
      <x:c r="A76" s="18" t="str">
        <x:v>FCST_REVENUE</x:v>
      </x:c>
      <x:c r="B76" s="18" t="str">
        <x:v>Forecast revenue</x:v>
      </x:c>
      <x:c r="C76" s="18" t="str">
        <x:v>Projected operating revenue.</x:v>
      </x:c>
      <x:c r="D76" s="18" t="str">
        <x:v>¥bn</x:v>
      </x:c>
      <x:c r="E76" s="18" t="str">
        <x:v>Annual</x:v>
      </x:c>
      <x:c r="F76" s="18" t="str">
        <x:v>Formula</x:v>
      </x:c>
      <x:c r="G76" s="18" t="str">
        <x:v>Accounts*RPA/1000</x:v>
      </x:c>
      <x:c r="H76" s="18" t="str">
        <x:v>Derived</x:v>
      </x:c>
      <x:c r="I76" s="18" t="str">
        <x:v>10_Rakuten_Scenario E26:E34</x:v>
      </x:c>
      <x:c r="J76" s="18" t="str">
        <x:v>Scenario output</x:v>
      </x:c>
      <x:c r="K76" s="18" t="str">
        <x:v>Driver-based.</x:v>
      </x:c>
      <x:c r="L76" s="18" t="str">
        <x:v>Black</x:v>
      </x:c>
    </x:row>
    <x:row r="77" ht="15" hidden="0" customHeight="1">
      <x:c r="A77" s="18" t="str">
        <x:v>FCST_PRETAX</x:v>
      </x:c>
      <x:c r="B77" s="18" t="str">
        <x:v>Forecast pre-tax income</x:v>
      </x:c>
      <x:c r="C77" s="18" t="str">
        <x:v>Projected pre-tax income.</x:v>
      </x:c>
      <x:c r="D77" s="18" t="str">
        <x:v>¥bn</x:v>
      </x:c>
      <x:c r="E77" s="18" t="str">
        <x:v>Annual</x:v>
      </x:c>
      <x:c r="F77" s="18" t="str">
        <x:v>Formula</x:v>
      </x:c>
      <x:c r="G77" s="18" t="str">
        <x:v>Revenue*margin</x:v>
      </x:c>
      <x:c r="H77" s="18" t="str">
        <x:v>Derived</x:v>
      </x:c>
      <x:c r="I77" s="18" t="str">
        <x:v>10_Rakuten_Scenario F26:F34</x:v>
      </x:c>
      <x:c r="J77" s="18" t="str">
        <x:v>Scenario output</x:v>
      </x:c>
      <x:c r="K77" s="18" t="str">
        <x:v>Cross-check.</x:v>
      </x:c>
      <x:c r="L77" s="18" t="str">
        <x:v>Black</x:v>
      </x:c>
    </x:row>
    <x:row r="78" ht="15" hidden="0" customHeight="1">
      <x:c r="A78" s="18" t="str">
        <x:v>FCST_NET_INCOME</x:v>
      </x:c>
      <x:c r="B78" s="18" t="str">
        <x:v>Forecast net income proxy</x:v>
      </x:c>
      <x:c r="C78" s="18" t="str">
        <x:v>Projected net income.</x:v>
      </x:c>
      <x:c r="D78" s="18" t="str">
        <x:v>¥bn</x:v>
      </x:c>
      <x:c r="E78" s="18" t="str">
        <x:v>Annual</x:v>
      </x:c>
      <x:c r="F78" s="18" t="str">
        <x:v>Formula</x:v>
      </x:c>
      <x:c r="G78" s="18" t="str">
        <x:v>Revenue*net margin</x:v>
      </x:c>
      <x:c r="H78" s="18" t="str">
        <x:v>Derived</x:v>
      </x:c>
      <x:c r="I78" s="18" t="str">
        <x:v>10_Rakuten_Scenario G26:G34</x:v>
      </x:c>
      <x:c r="J78" s="18" t="str">
        <x:v>Valuation earnings</x:v>
      </x:c>
      <x:c r="K78" s="18" t="str">
        <x:v>Simplified.</x:v>
      </x:c>
      <x:c r="L78" s="18" t="str">
        <x:v>Black</x:v>
      </x:c>
    </x:row>
    <x:row r="79" ht="15" hidden="0" customHeight="1">
      <x:c r="A79" s="18" t="str">
        <x:v>FCST_EQUITY_SENS</x:v>
      </x:c>
      <x:c r="B79" s="18" t="str">
        <x:v>Equity-value sensitivity</x:v>
      </x:c>
      <x:c r="C79" s="18" t="str">
        <x:v>Net income * PER.</x:v>
      </x:c>
      <x:c r="D79" s="18" t="str">
        <x:v>¥bn</x:v>
      </x:c>
      <x:c r="E79" s="18" t="str">
        <x:v>Annual</x:v>
      </x:c>
      <x:c r="F79" s="18" t="str">
        <x:v>Formula</x:v>
      </x:c>
      <x:c r="G79" s="18" t="str">
        <x:v>Net income*PER</x:v>
      </x:c>
      <x:c r="H79" s="18" t="str">
        <x:v>Derived</x:v>
      </x:c>
      <x:c r="I79" s="18" t="str">
        <x:v>10_Rakuten_Scenario H26:J34</x:v>
      </x:c>
      <x:c r="J79" s="18" t="str">
        <x:v>Valuation sensitivity</x:v>
      </x:c>
      <x:c r="K79" s="18" t="str">
        <x:v>Perimeter mismatch.</x:v>
      </x:c>
      <x:c r="L79" s="18" t="str">
        <x:v>Black</x:v>
      </x:c>
    </x:row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2" hidden="0" customWidth="1"/>
    <x:col min="3" max="3" width="20" hidden="0" customWidth="1"/>
    <x:col min="4" max="4" width="20" hidden="0" customWidth="1"/>
    <x:col min="5" max="5" width="15" hidden="0" customWidth="1"/>
    <x:col min="6" max="6" width="14" hidden="0" customWidth="1"/>
    <x:col min="7" max="7" width="12" hidden="0" customWidth="1"/>
    <x:col min="8" max="8" width="45" hidden="0" customWidth="1"/>
    <x:col min="9" max="9" width="22" hidden="0" customWidth="1"/>
  </x:cols>
  <x:sheetData>
    <x:row r="1" ht="19.200000762939453" hidden="0" customHeight="1">
      <x:c r="A1" s="4" t="str">
        <x:v>12_Audit_Checks</x:v>
      </x:c>
      <x:c r="B1" s="4"/>
      <x:c r="C1" s="4"/>
      <x:c r="D1" s="4"/>
      <x:c r="E1" s="4"/>
      <x:c r="F1" s="4"/>
      <x:c r="G1" s="4"/>
      <x:c r="H1" s="4"/>
      <x:c r="I1" s="4"/>
    </x:row>
    <x:row r="2" ht="15" hidden="0" customHeight="1">
      <x:c r="A2" s="10" t="str">
        <x:v>Mechanical reconciliations and independent checks. Every item must PASS within the explicitly documented tolerance.</x:v>
      </x:c>
      <x:c r="B2" s="10"/>
      <x:c r="C2" s="10"/>
      <x:c r="D2" s="10"/>
      <x:c r="E2" s="10"/>
      <x:c r="F2" s="10"/>
      <x:c r="G2" s="10"/>
      <x:c r="H2" s="10"/>
      <x:c r="I2" s="10"/>
    </x:row>
    <x:row r="3"/>
    <x:row r="4" ht="15" hidden="0" customHeight="1">
      <x:c r="A4" s="16" t="str">
        <x:v>Check ID</x:v>
      </x:c>
      <x:c r="B4" s="16" t="str">
        <x:v>Description</x:v>
      </x:c>
      <x:c r="C4" s="16" t="str">
        <x:v>Model Value</x:v>
      </x:c>
      <x:c r="D4" s="16" t="str">
        <x:v>Expected</x:v>
      </x:c>
      <x:c r="E4" s="16" t="str">
        <x:v>Difference</x:v>
      </x:c>
      <x:c r="F4" s="16" t="str">
        <x:v>Tolerance</x:v>
      </x:c>
      <x:c r="G4" s="16" t="str">
        <x:v>Status</x:v>
      </x:c>
      <x:c r="H4" s="16" t="str">
        <x:v>Source / Reason</x:v>
      </x:c>
      <x:c r="I4" s="16" t="str">
        <x:v>Type</x:v>
      </x:c>
    </x:row>
    <x:row r="5" ht="15" hidden="0" customHeight="1">
      <x:c r="A5" t="str">
        <x:v>A01</x:v>
      </x:c>
      <x:c r="B5" t="str">
        <x:v>2025 final all-institution accounts</x:v>
      </x:c>
      <x:c r="C5" s="124" t="n">
        <x:f>'03_Clean_NISA'!B17</x:f>
        <x:v>28.21</x:v>
      </x:c>
      <x:c r="D5" s="125" t="n">
        <x:v>28.21</x:v>
      </x:c>
      <x:c r="E5" s="126" t="n">
        <x:f>C5-D5</x:f>
        <x:v>0</x:v>
      </x:c>
      <x:c r="F5" s="125" t="n">
        <x:v>0.0001</x:v>
      </x:c>
      <x:c r="G5" s="38" t="str">
        <x:f>IF(ABS(E5)&lt;=F5,"PASS","FAIL")</x:f>
        <x:v>PASS</x:v>
      </x:c>
      <x:c r="H5" s="18" t="str">
        <x:v>S02/S03 final</x:v>
      </x:c>
      <x:c r="I5" s="18" t="str">
        <x:v>Source reconciliation</x:v>
      </x:c>
    </x:row>
    <x:row r="6" ht="15" hidden="0" customHeight="1">
      <x:c r="A6" t="str">
        <x:v>A02</x:v>
      </x:c>
      <x:c r="B6" t="str">
        <x:v>2025 merged age accounts sum</x:v>
      </x:c>
      <x:c r="C6" s="124" t="n">
        <x:f>SUM('04_Age_Data'!E6:E12)</x:f>
        <x:v>28.206434</x:v>
      </x:c>
      <x:c r="D6" s="125" t="n">
        <x:v>28.206434</x:v>
      </x:c>
      <x:c r="E6" s="126" t="n">
        <x:f>C6-D6</x:f>
        <x:v>0</x:v>
      </x:c>
      <x:c r="F6" s="125" t="n">
        <x:v>0.000001</x:v>
      </x:c>
      <x:c r="G6" s="38" t="str">
        <x:f>IF(ABS(E6)&lt;=F6,"PASS","FAIL")</x:f>
        <x:v>PASS</x:v>
      </x:c>
      <x:c r="H6" s="18" t="str">
        <x:v>S02 exact age-count sum</x:v>
      </x:c>
      <x:c r="I6" s="18" t="str">
        <x:v>Source reconciliation</x:v>
      </x:c>
    </x:row>
    <x:row r="7" ht="15" hidden="0" customHeight="1">
      <x:c r="A7" t="str">
        <x:v>A03</x:v>
      </x:c>
      <x:c r="B7" t="str">
        <x:v>2024 merged age accounts vs national</x:v>
      </x:c>
      <x:c r="C7" s="124" t="n">
        <x:f>SUM('04_Age_Data'!C6:C12)</x:f>
        <x:v>25.58646</x:v>
      </x:c>
      <x:c r="D7" s="125" t="n">
        <x:v>25.58646</x:v>
      </x:c>
      <x:c r="E7" s="126" t="n">
        <x:f>C7-D7</x:f>
        <x:v>0</x:v>
      </x:c>
      <x:c r="F7" s="125" t="n">
        <x:v>0.000001</x:v>
      </x:c>
      <x:c r="G7" s="38" t="str">
        <x:f>IF(ABS(E7)&lt;=F7,"PASS","FAIL")</x:f>
        <x:v>PASS</x:v>
      </x:c>
      <x:c r="H7" s="18" t="str">
        <x:v>S06 exact age-count sum</x:v>
      </x:c>
      <x:c r="I7" s="18" t="str">
        <x:v>Source reconciliation</x:v>
      </x:c>
    </x:row>
    <x:row r="8" ht="15" hidden="0" customHeight="1">
      <x:c r="A8" t="str">
        <x:v>A04</x:v>
      </x:c>
      <x:c r="B8" t="str">
        <x:v>2023 merged age accounts sum (excludes accounts without an age allocation)</x:v>
      </x:c>
      <x:c r="C8" s="124" t="n">
        <x:f>SUM('04_Age_Data'!B6:B12)</x:f>
        <x:v>21.206442999999997</x:v>
      </x:c>
      <x:c r="D8" s="125" t="n">
        <x:v>21.206443</x:v>
      </x:c>
      <x:c r="E8" s="126" t="n">
        <x:f>C8-D8</x:f>
        <x:v>-3.552713678800501e-15</x:v>
      </x:c>
      <x:c r="F8" s="125" t="n">
        <x:v>0.000001</x:v>
      </x:c>
      <x:c r="G8" s="38" t="str">
        <x:f>IF(ABS(E8)&lt;=F8,"PASS","FAIL")</x:f>
        <x:v>PASS</x:v>
      </x:c>
      <x:c r="H8" s="18" t="str">
        <x:v>S07 exact age-count sum; 40,977 national accounts were not allocated to an age bucket</x:v>
      </x:c>
      <x:c r="I8" s="18" t="str">
        <x:v>Source reconciliation</x:v>
      </x:c>
    </x:row>
    <x:row r="9" ht="15" hidden="0" customHeight="1">
      <x:c r="A9" t="str">
        <x:v>A05</x:v>
      </x:c>
      <x:c r="B9" t="str">
        <x:v>2024 all-institution quota sum</x:v>
      </x:c>
      <x:c r="C9" s="124" t="n">
        <x:f>'05_Product_Mix'!C6+'05_Product_Mix'!D6</x:f>
        <x:v>17.3821</x:v>
      </x:c>
      <x:c r="D9" s="125" t="n">
        <x:v>17.3821</x:v>
      </x:c>
      <x:c r="E9" s="126" t="n">
        <x:f>C9-D9</x:f>
        <x:v>0</x:v>
      </x:c>
      <x:c r="F9" s="125" t="n">
        <x:v>0.00001</x:v>
      </x:c>
      <x:c r="G9" s="38" t="str">
        <x:f>IF(ABS(E9)&lt;=F9,"PASS","FAIL")</x:f>
        <x:v>PASS</x:v>
      </x:c>
      <x:c r="H9" s="18" t="str">
        <x:v>12.4144+4.9677</x:v>
      </x:c>
      <x:c r="I9" s="18" t="str">
        <x:v>Formula</x:v>
      </x:c>
    </x:row>
    <x:row r="10" ht="15" hidden="0" customHeight="1">
      <x:c r="A10" t="str">
        <x:v>A06</x:v>
      </x:c>
      <x:c r="B10" t="str">
        <x:v>2025 all-institution quota sum</x:v>
      </x:c>
      <x:c r="C10" s="124" t="n">
        <x:f>'05_Product_Mix'!C7+'05_Product_Mix'!D7</x:f>
        <x:v>18.7487</x:v>
      </x:c>
      <x:c r="D10" s="125" t="n">
        <x:v>18.7487</x:v>
      </x:c>
      <x:c r="E10" s="126" t="n">
        <x:f>C10-D10</x:f>
        <x:v>0</x:v>
      </x:c>
      <x:c r="F10" s="125" t="n">
        <x:v>0.00001</x:v>
      </x:c>
      <x:c r="G10" s="38" t="str">
        <x:f>IF(ABS(E10)&lt;=F10,"PASS","FAIL")</x:f>
        <x:v>PASS</x:v>
      </x:c>
      <x:c r="H10" s="18" t="str">
        <x:v>12.5138+6.2349</x:v>
      </x:c>
      <x:c r="I10" s="18" t="str">
        <x:v>Formula</x:v>
      </x:c>
    </x:row>
    <x:row r="11" ht="15" hidden="0" customHeight="1">
      <x:c r="A11" t="str">
        <x:v>A07</x:v>
      </x:c>
      <x:c r="B11" t="str">
        <x:v>2024 securities quota sum</x:v>
      </x:c>
      <x:c r="C11" s="124" t="n">
        <x:f>'05_Product_Mix'!C8+'05_Product_Mix'!D8</x:f>
        <x:v>14.044699999999999</x:v>
      </x:c>
      <x:c r="D11" s="125" t="n">
        <x:v>14.0447</x:v>
      </x:c>
      <x:c r="E11" s="126" t="n">
        <x:f>C11-D11</x:f>
        <x:v>-1.7763568394002505e-15</x:v>
      </x:c>
      <x:c r="F11" s="125" t="n">
        <x:v>0.00001</x:v>
      </x:c>
      <x:c r="G11" s="38" t="str">
        <x:f>IF(ABS(E11)&lt;=F11,"PASS","FAIL")</x:f>
        <x:v>PASS</x:v>
      </x:c>
      <x:c r="H11" s="18" t="str">
        <x:v>10.1785+3.8662</x:v>
      </x:c>
      <x:c r="I11" s="18" t="str">
        <x:v>Formula</x:v>
      </x:c>
    </x:row>
    <x:row r="12" ht="15" hidden="0" customHeight="1">
      <x:c r="A12" t="str">
        <x:v>A08</x:v>
      </x:c>
      <x:c r="B12" t="str">
        <x:v>2025 securities quota sum</x:v>
      </x:c>
      <x:c r="C12" s="124" t="n">
        <x:f>'05_Product_Mix'!C9+'05_Product_Mix'!D9</x:f>
        <x:v>15.354000000000001</x:v>
      </x:c>
      <x:c r="D12" s="125" t="n">
        <x:v>15.354</x:v>
      </x:c>
      <x:c r="E12" s="126" t="n">
        <x:f>C12-D12</x:f>
        <x:v>1.7763568394002505e-15</x:v>
      </x:c>
      <x:c r="F12" s="125" t="n">
        <x:v>0.00001</x:v>
      </x:c>
      <x:c r="G12" s="38" t="str">
        <x:f>IF(ABS(E12)&lt;=F12,"PASS","FAIL")</x:f>
        <x:v>PASS</x:v>
      </x:c>
      <x:c r="H12" s="18" t="str">
        <x:v>10.5310+4.8230</x:v>
      </x:c>
      <x:c r="I12" s="18" t="str">
        <x:v>Formula</x:v>
      </x:c>
    </x:row>
    <x:row r="13" ht="15" hidden="0" customHeight="1">
      <x:c r="A13" t="str">
        <x:v>A09</x:v>
      </x:c>
      <x:c r="B13" t="str">
        <x:v>2024 age growth components sum</x:v>
      </x:c>
      <x:c r="C13" s="124" t="n">
        <x:f>SUM('04_Age_Data'!B31:B37)/1000</x:f>
        <x:v>12.414399999999999</x:v>
      </x:c>
      <x:c r="D13" s="125" t="n">
        <x:v>12.4144</x:v>
      </x:c>
      <x:c r="E13" s="126" t="n">
        <x:f>C13-D13</x:f>
        <x:v>-1.7763568394002505e-15</x:v>
      </x:c>
      <x:c r="F13" s="125" t="n">
        <x:v>0.00001</x:v>
      </x:c>
      <x:c r="G13" s="38" t="str">
        <x:f>IF(ABS(E13)&lt;=F13,"PASS","FAIL")</x:f>
        <x:v>PASS</x:v>
      </x:c>
      <x:c r="H13" s="18" t="str">
        <x:v>Age components</x:v>
      </x:c>
      <x:c r="I13" s="18" t="str">
        <x:v>Formula</x:v>
      </x:c>
    </x:row>
    <x:row r="14" ht="15" hidden="0" customHeight="1">
      <x:c r="A14" t="str">
        <x:v>A10</x:v>
      </x:c>
      <x:c r="B14" t="str">
        <x:v>2024 age accumulation components</x:v>
      </x:c>
      <x:c r="C14" s="124" t="n">
        <x:f>SUM('04_Age_Data'!C31:C37)/1000</x:f>
        <x:v>4.9679</x:v>
      </x:c>
      <x:c r="D14" s="125" t="n">
        <x:v>4.9677</x:v>
      </x:c>
      <x:c r="E14" s="126" t="n">
        <x:f>C14-D14</x:f>
        <x:v>0.00020000000000042206</x:v>
      </x:c>
      <x:c r="F14" s="125" t="n">
        <x:v>0.00021</x:v>
      </x:c>
      <x:c r="G14" s="38" t="str">
        <x:f>IF(ABS(E14)&lt;=F14,"PASS","FAIL")</x:f>
        <x:v>PASS</x:v>
      </x:c>
      <x:c r="H14" s="18" t="str">
        <x:v>Rounded components sum 4.9679tn</x:v>
      </x:c>
      <x:c r="I14" s="18" t="str">
        <x:v>Rounding</x:v>
      </x:c>
    </x:row>
    <x:row r="15" ht="15" hidden="0" customHeight="1">
      <x:c r="A15" t="str">
        <x:v>A11</x:v>
      </x:c>
      <x:c r="B15" t="str">
        <x:v>2024 sec annual purchases from cumulative</x:v>
      </x:c>
      <x:c r="C15" s="124" t="n">
        <x:f>'03_Clean_NISA'!H16-'03_Clean_NISA'!H15</x:f>
        <x:v>14.044700000000002</x:v>
      </x:c>
      <x:c r="D15" s="125" t="n">
        <x:v>14.0447</x:v>
      </x:c>
      <x:c r="E15" s="126" t="n">
        <x:f>C15-D15</x:f>
        <x:v>1.7763568394002505e-15</x:v>
      </x:c>
      <x:c r="F15" s="125" t="n">
        <x:v>0.00001</x:v>
      </x:c>
      <x:c r="G15" s="38" t="str">
        <x:f>IF(ABS(E15)&lt;=F15,"PASS","FAIL")</x:f>
        <x:v>PASS</x:v>
      </x:c>
      <x:c r="H15" s="18" t="str">
        <x:v>38.0904-24.0457</x:v>
      </x:c>
      <x:c r="I15" s="18" t="str">
        <x:v>Independent</x:v>
      </x:c>
    </x:row>
    <x:row r="16" ht="15" hidden="0" customHeight="1">
      <x:c r="A16" t="str">
        <x:v>A12</x:v>
      </x:c>
      <x:c r="B16" t="str">
        <x:v>2023 sec annual purchases from cumulative</x:v>
      </x:c>
      <x:c r="C16" s="124" t="n">
        <x:f>'03_Clean_NISA'!H15-'03_Clean_NISA'!H14</x:f>
        <x:v>3.8488000000000007</x:v>
      </x:c>
      <x:c r="D16" s="125" t="n">
        <x:v>3.8488</x:v>
      </x:c>
      <x:c r="E16" s="126" t="n">
        <x:f>C16-D16</x:f>
        <x:v>4.440892098500626e-16</x:v>
      </x:c>
      <x:c r="F16" s="125" t="n">
        <x:v>0.00001</x:v>
      </x:c>
      <x:c r="G16" s="38" t="str">
        <x:f>IF(ABS(E16)&lt;=F16,"PASS","FAIL")</x:f>
        <x:v>PASS</x:v>
      </x:c>
      <x:c r="H16" s="18" t="str">
        <x:v>24.0457-20.1969</x:v>
      </x:c>
      <x:c r="I16" s="18" t="str">
        <x:v>Independent</x:v>
      </x:c>
    </x:row>
    <x:row r="17" ht="15" hidden="0" customHeight="1">
      <x:c r="A17" t="str">
        <x:v>A13</x:v>
      </x:c>
      <x:c r="B17" t="str">
        <x:v>2023-&gt;2025 national account increase</x:v>
      </x:c>
      <x:c r="C17" s="124" t="n">
        <x:f>'03_Clean_NISA'!B17-'03_Clean_NISA'!B15</x:f>
        <x:v>6.960000000000001</x:v>
      </x:c>
      <x:c r="D17" s="125" t="n">
        <x:v>6.96</x:v>
      </x:c>
      <x:c r="E17" s="126" t="n">
        <x:f>C17-D17</x:f>
        <x:v>8.881784197001252e-16</x:v>
      </x:c>
      <x:c r="F17" s="125" t="n">
        <x:v>0.0001</x:v>
      </x:c>
      <x:c r="G17" s="38" t="str">
        <x:f>IF(ABS(E17)&lt;=F17,"PASS","FAIL")</x:f>
        <x:v>PASS</x:v>
      </x:c>
      <x:c r="H17" s="18" t="str">
        <x:v>28.21-21.25</x:v>
      </x:c>
      <x:c r="I17" s="18" t="str">
        <x:v>Independent</x:v>
      </x:c>
    </x:row>
    <x:row r="18" ht="15" hidden="0" customHeight="1">
      <x:c r="A18" t="str">
        <x:v>A14</x:v>
      </x:c>
      <x:c r="B18" t="str">
        <x:v>2025 national YoY growth</x:v>
      </x:c>
      <x:c r="C18" s="124" t="n">
        <x:f>'03_Clean_NISA'!C17</x:f>
        <x:v>0.10238374364986336</x:v>
      </x:c>
      <x:c r="D18" s="125" t="n">
        <x:v>0.1023837436</x:v>
      </x:c>
      <x:c r="E18" s="126" t="n">
        <x:f>C18-D18</x:f>
        <x:v>4.986336343826281e-11</x:v>
      </x:c>
      <x:c r="F18" s="125" t="n">
        <x:v>0.000001</x:v>
      </x:c>
      <x:c r="G18" s="38" t="str">
        <x:f>IF(ABS(E18)&lt;=F18,"PASS","FAIL")</x:f>
        <x:v>PASS</x:v>
      </x:c>
      <x:c r="H18" s="18" t="str">
        <x:v>28.21/25.59-1</x:v>
      </x:c>
      <x:c r="I18" s="18" t="str">
        <x:v>Calculation</x:v>
      </x:c>
    </x:row>
    <x:row r="19" ht="15" hidden="0" customHeight="1">
      <x:c r="A19" t="str">
        <x:v>A15</x:v>
      </x:c>
      <x:c r="B19" t="str">
        <x:v>2024 national YoY growth</x:v>
      </x:c>
      <x:c r="C19" s="124" t="n">
        <x:f>'03_Clean_NISA'!C16</x:f>
        <x:v>0.20423529411764707</x:v>
      </x:c>
      <x:c r="D19" s="125" t="n">
        <x:v>0.2042352941</x:v>
      </x:c>
      <x:c r="E19" s="126" t="n">
        <x:f>C19-D19</x:f>
        <x:v>1.764707824314371e-11</x:v>
      </x:c>
      <x:c r="F19" s="125" t="n">
        <x:v>0.000001</x:v>
      </x:c>
      <x:c r="G19" s="38" t="str">
        <x:f>IF(ABS(E19)&lt;=F19,"PASS","FAIL")</x:f>
        <x:v>PASS</x:v>
      </x:c>
      <x:c r="H19" s="18" t="str">
        <x:v>25.59/21.25-1</x:v>
      </x:c>
      <x:c r="I19" s="18" t="str">
        <x:v>Calculation</x:v>
      </x:c>
    </x:row>
    <x:row r="20" ht="15" hidden="0" customHeight="1">
      <x:c r="A20" t="str">
        <x:v>A16</x:v>
      </x:c>
      <x:c r="B20" t="str">
        <x:v>2024 securities account growth</x:v>
      </x:c>
      <x:c r="C20" s="124" t="n">
        <x:f>'03_Clean_NISA'!F16</x:f>
        <x:v>0.2626050420168069</x:v>
      </x:c>
      <x:c r="D20" s="125" t="n">
        <x:v>0.262605042</x:v>
      </x:c>
      <x:c r="E20" s="126" t="n">
        <x:f>C20-D20</x:f>
        <x:v>1.6806889213683007e-11</x:v>
      </x:c>
      <x:c r="F20" s="125" t="n">
        <x:v>0.000001</x:v>
      </x:c>
      <x:c r="G20" s="38" t="str">
        <x:f>IF(ABS(E20)&lt;=F20,"PASS","FAIL")</x:f>
        <x:v>PASS</x:v>
      </x:c>
      <x:c r="H20" s="18" t="str">
        <x:v>18.03/14.28-1</x:v>
      </x:c>
      <x:c r="I20" s="18" t="str">
        <x:v>Calculation</x:v>
      </x:c>
    </x:row>
    <x:row r="21" ht="15" hidden="0" customHeight="1">
      <x:c r="A21" t="str">
        <x:v>A17</x:v>
      </x:c>
      <x:c r="B21" t="str">
        <x:v>2024 securities purchase growth</x:v>
      </x:c>
      <x:c r="C21" s="124" t="n">
        <x:f>'03_Clean_NISA'!J16</x:f>
        <x:v>2.6491114113489918</x:v>
      </x:c>
      <x:c r="D21" s="125" t="n">
        <x:v>2.6491114113</x:v>
      </x:c>
      <x:c r="E21" s="126" t="n">
        <x:f>C21-D21</x:f>
        <x:v>4.899192163065891e-11</x:v>
      </x:c>
      <x:c r="F21" s="125" t="n">
        <x:v>0.000001</x:v>
      </x:c>
      <x:c r="G21" s="38" t="str">
        <x:f>IF(ABS(E21)&lt;=F21,"PASS","FAIL")</x:f>
        <x:v>PASS</x:v>
      </x:c>
      <x:c r="H21" s="18" t="str">
        <x:v>14.0447/3.8488-1</x:v>
      </x:c>
      <x:c r="I21" s="18" t="str">
        <x:v>Calculation</x:v>
      </x:c>
    </x:row>
    <x:row r="22" ht="15" hidden="0" customHeight="1">
      <x:c r="A22" t="str">
        <x:v>A18</x:v>
      </x:c>
      <x:c r="B22" t="str">
        <x:v>2024 sec purchases/pre 2019-23 avg</x:v>
      </x:c>
      <x:c r="C22" s="124" t="n">
        <x:f>'03_Clean_NISA'!C30</x:f>
        <x:v>5.083244659674116</x:v>
      </x:c>
      <x:c r="D22" s="125" t="n">
        <x:v>5.0832446597</x:v>
      </x:c>
      <x:c r="E22" s="126" t="n">
        <x:f>C22-D22</x:f>
        <x:v>-2.588418368532075e-11</x:v>
      </x:c>
      <x:c r="F22" s="125" t="n">
        <x:v>0.000001</x:v>
      </x:c>
      <x:c r="G22" s="38" t="str">
        <x:f>IF(ABS(E22)&lt;=F22,"PASS","FAIL")</x:f>
        <x:v>PASS</x:v>
      </x:c>
      <x:c r="H22" s="18" t="str">
        <x:v>14.0447 / avg 2019-23</x:v>
      </x:c>
      <x:c r="I22" s="18" t="str">
        <x:v>Calculation</x:v>
      </x:c>
    </x:row>
    <x:row r="23" ht="15" hidden="0" customHeight="1">
      <x:c r="A23" t="str">
        <x:v>A19</x:v>
      </x:c>
      <x:c r="B23" t="str">
        <x:v>Rakuten 2025 revenue/account</x:v>
      </x:c>
      <x:c r="C23" s="124" t="n">
        <x:f>'10_Rakuten_Scenario'!F8</x:f>
        <x:v>11941.176470588236</x:v>
      </x:c>
      <x:c r="D23" s="125" t="n">
        <x:v>11941.1764706</x:v>
      </x:c>
      <x:c r="E23" s="126" t="n">
        <x:f>C23-D23</x:f>
        <x:v>-1.1763404472731054e-8</x:v>
      </x:c>
      <x:c r="F23" s="125" t="n">
        <x:v>0.01</x:v>
      </x:c>
      <x:c r="G23" s="38" t="str">
        <x:f>IF(ABS(E23)&lt;=F23,"PASS","FAIL")</x:f>
        <x:v>PASS</x:v>
      </x:c>
      <x:c r="H23" s="18" t="str">
        <x:v>158.340/13.26*1000</x:v>
      </x:c>
      <x:c r="I23" s="18" t="str">
        <x:v>Calculation</x:v>
      </x:c>
    </x:row>
    <x:row r="24" ht="15" hidden="0" customHeight="1">
      <x:c r="A24" t="str">
        <x:v>A20</x:v>
      </x:c>
      <x:c r="B24" t="str">
        <x:v>Rakuten 2025 pre-tax margin</x:v>
      </x:c>
      <x:c r="C24" s="124" t="n">
        <x:f>'10_Rakuten_Scenario'!G8</x:f>
        <x:v>0.2813439434129089</x:v>
      </x:c>
      <x:c r="D24" s="125" t="n">
        <x:v>0.2813439434</x:v>
      </x:c>
      <x:c r="E24" s="126" t="n">
        <x:f>C24-D24</x:f>
        <x:v>1.2908896174224083e-11</x:v>
      </x:c>
      <x:c r="F24" s="125" t="n">
        <x:v>0.000001</x:v>
      </x:c>
      <x:c r="G24" s="38" t="str">
        <x:f>IF(ABS(E24)&lt;=F24,"PASS","FAIL")</x:f>
        <x:v>PASS</x:v>
      </x:c>
      <x:c r="H24" s="18" t="str">
        <x:v>44.548/158.340</x:v>
      </x:c>
      <x:c r="I24" s="18" t="str">
        <x:v>Calculation</x:v>
      </x:c>
    </x:row>
    <x:row r="25" ht="15" hidden="0" customHeight="1">
      <x:c r="A25" t="str">
        <x:v>A21</x:v>
      </x:c>
      <x:c r="B25" t="str">
        <x:v>Rakuten 2025 net margin</x:v>
      </x:c>
      <x:c r="C25" s="124" t="n">
        <x:f>'10_Rakuten_Scenario'!H8</x:f>
        <x:v>0.13704054566123533</x:v>
      </x:c>
      <x:c r="D25" s="125" t="n">
        <x:v>0.1370405457</x:v>
      </x:c>
      <x:c r="E25" s="126" t="n">
        <x:f>C25-D25</x:f>
        <x:v>-3.876465815011443e-11</x:v>
      </x:c>
      <x:c r="F25" s="125" t="n">
        <x:v>0.000001</x:v>
      </x:c>
      <x:c r="G25" s="38" t="str">
        <x:f>IF(ABS(E25)&lt;=F25,"PASS","FAIL")</x:f>
        <x:v>PASS</x:v>
      </x:c>
      <x:c r="H25" s="18" t="str">
        <x:v>21.699/158.340</x:v>
      </x:c>
      <x:c r="I25" s="18" t="str">
        <x:v>Calculation</x:v>
      </x:c>
    </x:row>
    <x:row r="26" ht="15" hidden="0" customHeight="1">
      <x:c r="A26" t="str">
        <x:v>A22</x:v>
      </x:c>
      <x:c r="B26" t="str">
        <x:v>Daiwa PER midpoint</x:v>
      </x:c>
      <x:c r="C26" s="124" t="n">
        <x:f>'10_Rakuten_Scenario'!C20</x:f>
        <x:v>18</x:v>
      </x:c>
      <x:c r="D26" s="125" t="n">
        <x:v>18</x:v>
      </x:c>
      <x:c r="E26" s="126" t="n">
        <x:f>C26-D26</x:f>
        <x:v>0</x:v>
      </x:c>
      <x:c r="F26" s="125" t="n">
        <x:v>0.0001</x:v>
      </x:c>
      <x:c r="G26" s="38" t="str">
        <x:f>IF(ABS(E26)&lt;=F26,"PASS","FAIL")</x:f>
        <x:v>PASS</x:v>
      </x:c>
      <x:c r="H26" s="18" t="str">
        <x:v>(16.2+19.8)/2</x:v>
      </x:c>
      <x:c r="I26" s="18" t="str">
        <x:v>Assumption</x:v>
      </x:c>
    </x:row>
    <x:row r="27" ht="15" hidden="0" customHeight="1">
      <x:c r="A27" t="str">
        <x:v>A23</x:v>
      </x:c>
      <x:c r="B27" t="str">
        <x:v>2025 age penetration 30s</x:v>
      </x:c>
      <x:c r="C27" s="124" t="n">
        <x:f>'04_Age_Data'!C20</x:f>
        <x:v>0.373</x:v>
      </x:c>
      <x:c r="D27" s="125" t="n">
        <x:v>0.373</x:v>
      </x:c>
      <x:c r="E27" s="126" t="n">
        <x:f>C27-D27</x:f>
        <x:v>0</x:v>
      </x:c>
      <x:c r="F27" s="125" t="n">
        <x:v>0.0001</x:v>
      </x:c>
      <x:c r="G27" s="38" t="str">
        <x:f>IF(ABS(E27)&lt;=F27,"PASS","FAIL")</x:f>
        <x:v>PASS</x:v>
      </x:c>
      <x:c r="H27" s="18" t="str">
        <x:v>S04 direct</x:v>
      </x:c>
      <x:c r="I27" s="18" t="str">
        <x:v>Source</x:v>
      </x:c>
    </x:row>
    <x:row r="28" ht="15" hidden="0" customHeight="1">
      <x:c r="A28" t="str">
        <x:v>A24</x:v>
      </x:c>
      <x:c r="B28" t="str">
        <x:v>2025 all-institution accumulation share</x:v>
      </x:c>
      <x:c r="C28" s="124" t="n">
        <x:f>'05_Product_Mix'!G7</x:f>
        <x:v>0.3325510568732765</x:v>
      </x:c>
      <x:c r="D28" s="125" t="n">
        <x:v>0.3325510569</x:v>
      </x:c>
      <x:c r="E28" s="126" t="n">
        <x:f>C28-D28</x:f>
        <x:v>-2.6723456780786137e-11</x:v>
      </x:c>
      <x:c r="F28" s="125" t="n">
        <x:v>0.000001</x:v>
      </x:c>
      <x:c r="G28" s="38" t="str">
        <x:f>IF(ABS(E28)&lt;=F28,"PASS","FAIL")</x:f>
        <x:v>PASS</x:v>
      </x:c>
      <x:c r="H28" s="18" t="str">
        <x:v>6.2349/18.7487</x:v>
      </x:c>
      <x:c r="I28" s="18" t="str">
        <x:v>Calculation</x:v>
      </x:c>
    </x:row>
    <x:row r="29">
      <x:c r="A29" t="str">
        <x:v>A25</x:v>
      </x:c>
      <x:c r="B29" t="str">
        <x:v>2023 BOJ equity + fund share</x:v>
      </x:c>
      <x:c r="C29" s="125" t="n">
        <x:f>'06_HH_Assets'!G23</x:f>
        <x:v>0.179</x:v>
      </x:c>
      <x:c r="D29" s="125" t="n">
        <x:v>0.179</x:v>
      </x:c>
      <x:c r="E29" s="125" t="n">
        <x:f>C29-D29</x:f>
        <x:v>0</x:v>
      </x:c>
      <x:c r="F29" s="125" t="n">
        <x:v>0.000001</x:v>
      </x:c>
      <x:c r="G29" t="str">
        <x:f>IF(ABS(E29)&lt;=F29,"PASS","FAIL")</x:f>
        <x:v>PASS</x:v>
      </x:c>
      <x:c r="H29" t="str">
        <x:v>12.9% equity + 5.0% funds</x:v>
      </x:c>
      <x:c r="I29" t="str">
        <x:v>Source/calculation</x:v>
      </x:c>
    </x:row>
    <x:row r="30">
      <x:c r="A30" t="str">
        <x:v>A26</x:v>
      </x:c>
      <x:c r="B30" t="str">
        <x:v>2025 Sep equity + fund share</x:v>
      </x:c>
      <x:c r="C30" s="125" t="n">
        <x:f>'06_HH_Assets'!G25</x:f>
        <x:v>0.22</x:v>
      </x:c>
      <x:c r="D30" s="125" t="n">
        <x:v>0.22</x:v>
      </x:c>
      <x:c r="E30" s="125" t="n">
        <x:f>C30-D30</x:f>
        <x:v>0</x:v>
      </x:c>
      <x:c r="F30" s="125" t="n">
        <x:v>0.000001</x:v>
      </x:c>
      <x:c r="G30" t="str">
        <x:f>IF(ABS(E30)&lt;=F30,"PASS","FAIL")</x:f>
        <x:v>PASS</x:v>
      </x:c>
      <x:c r="H30" t="str">
        <x:v>15% stocks + 7% investment trusts</x:v>
      </x:c>
      <x:c r="I30" t="str">
        <x:v>Source/calculation</x:v>
      </x:c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</x:sheetData>
  <x:mergeCells>
    <x:mergeCell ref="A1:I1"/>
    <x:mergeCell ref="A2:I2"/>
  </x:mergeCells>
  <x:conditionalFormatting sqref="G5:G28">
    <x:cfRule type="expression" dxfId="0" priority="1">
      <x:formula>G5="PASS"</x:formula>
    </x:cfRule>
    <x:cfRule type="expression" dxfId="1" priority="2">
      <x:formula>G5="FAIL"</x:formula>
    </x:cfRule>
  </x:conditionalFormatting>
  <x:conditionalFormatting sqref="G29:G30">
    <x:cfRule type="expression" dxfId="2" priority="3">
      <x:formula>G29="PASS"</x:formula>
    </x:cfRule>
    <x:cfRule type="expression" dxfId="3" priority="4">
      <x:formula>G29="FAIL"</x:formula>
    </x:cfRule>
  </x:conditionalFormatting>
  <x:pageMargins left="0.7" right="0.7" top="0.75" bottom="0.75" header="0.3" footer="0.3"/>
</x:worksheet>
</file>